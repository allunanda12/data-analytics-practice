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BDE2DB94-9937-4152-A8F1-849375D7CA60}" xr6:coauthVersionLast="47" xr6:coauthVersionMax="47" xr10:uidLastSave="{00000000-0000-0000-0000-000000000000}"/>
  <bookViews>
    <workbookView xWindow="-120" yWindow="-120" windowWidth="29040" windowHeight="15720" activeTab="2" xr2:uid="{D809E559-02B3-4E3A-B4CD-5E58619AD4F3}"/>
  </bookViews>
  <sheets>
    <sheet name="Sheet2" sheetId="6" r:id="rId1"/>
    <sheet name="pivot charts" sheetId="7" r:id="rId2"/>
    <sheet name="Salary (2)" sheetId="4" r:id="rId3"/>
    <sheet name="Salary" sheetId="3" r:id="rId4"/>
    <sheet name="Staff (2)" sheetId="2" r:id="rId5"/>
    <sheet name="Staff" sheetId="1" r:id="rId6"/>
    <sheet name="Sheet1" sheetId="5" r:id="rId7"/>
  </sheets>
  <definedNames>
    <definedName name="_xlnm._FilterDatabase" localSheetId="5" hidden="1">Staff!$A$1:$I$277</definedName>
    <definedName name="_xlchart.v1.0" hidden="1">'Salary (2)'!$D$2:$D$468</definedName>
    <definedName name="_xlchart.v1.1" hidden="1">'Salary (2)'!$E$1</definedName>
    <definedName name="_xlchart.v1.2" hidden="1">'Salary (2)'!$E$2:$E$468</definedName>
    <definedName name="_xlchart.v1.3" hidden="1">'Salary (2)'!$D$2:$D$468</definedName>
    <definedName name="_xlchart.v1.4" hidden="1">'Salary (2)'!$E$1</definedName>
    <definedName name="_xlchart.v1.5" hidden="1">'Salary (2)'!$E$2:$E$468</definedName>
    <definedName name="_xlcn.WorksheetConnection_formatting.xlsxSalary__21" hidden="1">Salary__2[]</definedName>
    <definedName name="ExternalData_1" localSheetId="4" hidden="1">'Staff (2)'!$A$1:$I$277</definedName>
    <definedName name="ExternalData_2" localSheetId="3" hidden="1">Salary!$A$1:$I$277</definedName>
    <definedName name="ExternalData_3" localSheetId="2" hidden="1">'Salary (2)'!$A$1:$I$223</definedName>
  </definedNames>
  <calcPr calcId="191029"/>
  <pivotCaches>
    <pivotCache cacheId="9" r:id="rId8"/>
  </pivotCaches>
  <extLst>
    <ext xmlns:x15="http://schemas.microsoft.com/office/spreadsheetml/2010/11/main" uri="{841E416B-1EF1-43b6-AB56-02D37102CBD5}">
      <x15:pivotCaches>
        <pivotCache cacheId="298" r:id="rId9"/>
        <pivotCache cacheId="299" r:id="rId10"/>
        <pivotCache cacheId="300" r:id="rId11"/>
        <pivotCache cacheId="303" r:id="rId12"/>
      </x15:pivotCaches>
    </ext>
    <ext xmlns:x15="http://schemas.microsoft.com/office/spreadsheetml/2010/11/main" uri="{983426D0-5260-488c-9760-48F4B6AC55F4}">
      <x15:pivotTableReferences>
        <x15:pivotTableReference r:id="rId13"/>
        <x15:pivotTableReference r:id="rId14"/>
        <x15:pivotTableReference r:id="rId15"/>
        <x15:pivotTableReference r:id="rId16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ary__2" name="Salary__2" connection="WorksheetConnection_formatting.xlsx!Salary__2"/>
        </x15:modelTables>
        <x15:extLst>
          <ext xmlns:x16="http://schemas.microsoft.com/office/spreadsheetml/2014/11/main" uri="{9835A34E-60A6-4A7C-AAB8-D5F71C897F49}">
            <x16:modelTimeGroupings>
              <x16:modelTimeGrouping tableName="Salary__2" columnName="Start Date" columnId="Start Date">
                <x16:calculatedTimeColumn columnName="Start Date (Year)" columnId="Start Date (Year)" contentType="years" isSelected="1"/>
                <x16:calculatedTimeColumn columnName="Start Date (Quarter)" columnId="Start Date (Quarter)" contentType="quarters" isSelected="1"/>
                <x16:calculatedTimeColumn columnName="Start Date (Month Index)" columnId="Start Date (Month Index)" contentType="monthsindex" isSelected="1"/>
                <x16:calculatedTimeColumn columnName="Start Date (Month)" columnId="Start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" i="4" l="1"/>
  <c r="V16" i="4"/>
  <c r="V11" i="4"/>
  <c r="O34" i="4"/>
  <c r="O35" i="4"/>
  <c r="O36" i="4"/>
  <c r="O37" i="4"/>
  <c r="O38" i="4"/>
  <c r="O39" i="4"/>
  <c r="Q35" i="4"/>
  <c r="Q36" i="4"/>
  <c r="Q37" i="4"/>
  <c r="Q38" i="4"/>
  <c r="Q39" i="4"/>
  <c r="Q34" i="4"/>
  <c r="P35" i="4"/>
  <c r="P36" i="4"/>
  <c r="P37" i="4"/>
  <c r="P38" i="4"/>
  <c r="P39" i="4"/>
  <c r="P34" i="4"/>
  <c r="J17" i="5"/>
  <c r="O16" i="4"/>
  <c r="J187" i="4" s="1"/>
  <c r="J216" i="4" l="1"/>
  <c r="J46" i="4"/>
  <c r="J9" i="4"/>
  <c r="J3" i="4"/>
  <c r="J94" i="4"/>
  <c r="J93" i="4"/>
  <c r="J19" i="4"/>
  <c r="J40" i="4"/>
  <c r="J128" i="4"/>
  <c r="J169" i="4"/>
  <c r="J112" i="4"/>
  <c r="J86" i="4"/>
  <c r="J130" i="4"/>
  <c r="J182" i="4"/>
  <c r="J200" i="4"/>
  <c r="J28" i="4"/>
  <c r="J24" i="4"/>
  <c r="J170" i="4"/>
  <c r="J134" i="4"/>
  <c r="J73" i="4"/>
  <c r="J207" i="4"/>
  <c r="J25" i="4"/>
  <c r="J106" i="4"/>
  <c r="J120" i="4"/>
  <c r="J108" i="4"/>
  <c r="J133" i="4"/>
  <c r="J198" i="4"/>
  <c r="J217" i="4"/>
  <c r="J165" i="4"/>
  <c r="J138" i="4"/>
  <c r="J140" i="4"/>
  <c r="J101" i="4"/>
  <c r="J2" i="4"/>
  <c r="J132" i="4"/>
  <c r="J118" i="4"/>
  <c r="J10" i="4"/>
  <c r="J14" i="4"/>
  <c r="J124" i="4"/>
  <c r="J26" i="4"/>
  <c r="J183" i="4"/>
  <c r="J18" i="4"/>
  <c r="J163" i="4"/>
  <c r="J52" i="4"/>
  <c r="J196" i="4"/>
  <c r="J190" i="4"/>
  <c r="J114" i="4"/>
  <c r="J191" i="4"/>
  <c r="J8" i="4"/>
  <c r="J179" i="4"/>
  <c r="J153" i="4"/>
  <c r="J185" i="4"/>
  <c r="J68" i="4"/>
  <c r="J104" i="4"/>
  <c r="J141" i="4"/>
  <c r="J162" i="4"/>
  <c r="J221" i="4"/>
  <c r="J159" i="4"/>
  <c r="J20" i="4"/>
  <c r="J192" i="4"/>
  <c r="J12" i="4"/>
  <c r="J82" i="4"/>
  <c r="J188" i="4"/>
  <c r="J218" i="4"/>
  <c r="J16" i="4"/>
  <c r="J105" i="4"/>
  <c r="J202" i="4"/>
  <c r="J4" i="4"/>
  <c r="J206" i="4"/>
  <c r="J149" i="4"/>
  <c r="J203" i="4"/>
  <c r="J22" i="4"/>
  <c r="J33" i="4"/>
  <c r="J57" i="4"/>
  <c r="J173" i="4"/>
  <c r="J212" i="4"/>
  <c r="J99" i="4"/>
  <c r="J155" i="4"/>
  <c r="J111" i="4"/>
  <c r="J214" i="4"/>
  <c r="J164" i="4"/>
  <c r="J126" i="4"/>
  <c r="J95" i="4"/>
  <c r="J41" i="4"/>
  <c r="J208" i="4"/>
  <c r="J186" i="4"/>
  <c r="J177" i="4"/>
  <c r="J109" i="4"/>
  <c r="J146" i="4"/>
  <c r="J11" i="4"/>
  <c r="J107" i="4"/>
  <c r="J43" i="4"/>
  <c r="J150" i="4"/>
  <c r="J189" i="4"/>
  <c r="J121" i="4"/>
  <c r="J32" i="4"/>
  <c r="J194" i="4"/>
  <c r="J151" i="4"/>
  <c r="J50" i="4"/>
  <c r="J36" i="4"/>
  <c r="J63" i="4"/>
  <c r="J97" i="4"/>
  <c r="J23" i="4"/>
  <c r="J17" i="4"/>
  <c r="J197" i="4"/>
  <c r="J102" i="4"/>
  <c r="J176" i="4"/>
  <c r="J129" i="4"/>
  <c r="J116" i="4"/>
  <c r="J89" i="4"/>
  <c r="J92" i="4"/>
  <c r="J71" i="4"/>
  <c r="J96" i="4"/>
  <c r="J174" i="4"/>
  <c r="J79" i="4"/>
  <c r="J117" i="4"/>
  <c r="J172" i="4"/>
  <c r="J90" i="4"/>
  <c r="J35" i="4"/>
  <c r="J81" i="4"/>
  <c r="J195" i="4"/>
  <c r="J7" i="4"/>
  <c r="J219" i="4"/>
  <c r="J87" i="4"/>
  <c r="J91" i="4"/>
  <c r="J60" i="4"/>
  <c r="J21" i="4"/>
  <c r="J161" i="4"/>
  <c r="J66" i="4"/>
  <c r="J223" i="4"/>
  <c r="J210" i="4"/>
  <c r="J175" i="4"/>
  <c r="J158" i="4"/>
  <c r="J122" i="4"/>
  <c r="J156" i="4"/>
  <c r="J136" i="4"/>
  <c r="J62" i="4"/>
  <c r="J222" i="4"/>
  <c r="J84" i="4"/>
  <c r="J160" i="4"/>
  <c r="J193" i="4"/>
  <c r="J72" i="4"/>
  <c r="J15" i="4"/>
  <c r="J44" i="4"/>
  <c r="J209" i="4"/>
  <c r="J110" i="4"/>
  <c r="J147" i="4"/>
  <c r="J6" i="4"/>
  <c r="J30" i="4"/>
  <c r="J45" i="4"/>
  <c r="J137" i="4"/>
  <c r="J75" i="4"/>
  <c r="J37" i="4"/>
  <c r="J152" i="4"/>
  <c r="J31" i="4"/>
  <c r="J51" i="4"/>
  <c r="J42" i="4"/>
  <c r="J38" i="4"/>
  <c r="J178" i="4"/>
  <c r="J180" i="4"/>
  <c r="J67" i="4"/>
  <c r="J123" i="4"/>
  <c r="J199" i="4"/>
  <c r="J74" i="4"/>
  <c r="J39" i="4"/>
  <c r="J5" i="4"/>
  <c r="J131" i="4"/>
  <c r="J119" i="4"/>
  <c r="J154" i="4"/>
  <c r="J143" i="4"/>
  <c r="J69" i="4"/>
  <c r="J27" i="4"/>
  <c r="J211" i="4"/>
  <c r="J29" i="4"/>
  <c r="J34" i="4"/>
  <c r="J171" i="4"/>
  <c r="J168" i="4"/>
  <c r="J76" i="4"/>
  <c r="J142" i="4"/>
  <c r="J49" i="4"/>
  <c r="J61" i="4"/>
  <c r="J157" i="4"/>
  <c r="J59" i="4"/>
  <c r="J125" i="4"/>
  <c r="J139" i="4"/>
  <c r="J167" i="4"/>
  <c r="J184" i="4"/>
  <c r="J145" i="4"/>
  <c r="J64" i="4"/>
  <c r="J13" i="4"/>
  <c r="J65" i="4"/>
  <c r="J205" i="4"/>
  <c r="J78" i="4"/>
  <c r="J103" i="4"/>
  <c r="J58" i="4"/>
  <c r="J201" i="4"/>
  <c r="J85" i="4"/>
  <c r="J53" i="4"/>
  <c r="J98" i="4"/>
  <c r="J181" i="4"/>
  <c r="J148" i="4"/>
  <c r="J220" i="4"/>
  <c r="J56" i="4"/>
  <c r="J166" i="4"/>
  <c r="J80" i="4"/>
  <c r="J135" i="4"/>
  <c r="J55" i="4"/>
  <c r="J77" i="4"/>
  <c r="J127" i="4"/>
  <c r="J115" i="4"/>
  <c r="J83" i="4"/>
  <c r="J88" i="4"/>
  <c r="J144" i="4"/>
  <c r="J47" i="4"/>
  <c r="J215" i="4"/>
  <c r="J54" i="4"/>
  <c r="J100" i="4"/>
  <c r="J113" i="4"/>
  <c r="J204" i="4"/>
  <c r="J48" i="4"/>
  <c r="J213" i="4"/>
  <c r="J7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6B39F1-D9B8-4815-8C59-623613A5522C}" keepAlive="1" name="Query - Salary" description="Connection to the 'Salary' query in the workbook." type="5" refreshedVersion="8" background="1" saveData="1">
    <dbPr connection="Provider=Microsoft.Mashup.OleDb.1;Data Source=$Workbook$;Location=Salary;Extended Properties=&quot;&quot;" command="SELECT * FROM [Salary]"/>
  </connection>
  <connection id="2" xr16:uid="{CD708A04-F2E2-43B9-9F6F-13FB0BDC886D}" keepAlive="1" name="Query - Salary (2)" description="Connection to the 'Salary (2)' query in the workbook." type="5" refreshedVersion="8" background="1" saveData="1">
    <dbPr connection="Provider=Microsoft.Mashup.OleDb.1;Data Source=$Workbook$;Location=&quot;Salary (2)&quot;;Extended Properties=&quot;&quot;" command="SELECT * FROM [Salary (2)]"/>
  </connection>
  <connection id="3" xr16:uid="{ECA8A482-A6A8-4A03-A40E-2CD33159E3EC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  <connection id="4" xr16:uid="{88D14B60-2DC7-41C2-A61A-A6089664779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A71FDAE3-17FC-4863-AFB6-993BA0CD9B4D}" name="WorksheetConnection_formatting.xlsx!Salary__2" type="102" refreshedVersion="8" minRefreshableVersion="5">
    <extLst>
      <ext xmlns:x15="http://schemas.microsoft.com/office/spreadsheetml/2010/11/main" uri="{DE250136-89BD-433C-8126-D09CA5730AF9}">
        <x15:connection id="Salary__2" autoDelete="1">
          <x15:rangePr sourceName="_xlcn.WorksheetConnection_formatting.xlsxSalary__21"/>
        </x15:connection>
      </ext>
    </extLst>
  </connection>
</connections>
</file>

<file path=xl/sharedStrings.xml><?xml version="1.0" encoding="utf-8"?>
<sst xmlns="http://schemas.openxmlformats.org/spreadsheetml/2006/main" count="6470" uniqueCount="653">
  <si>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</si>
  <si>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</si>
  <si>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</si>
  <si>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</si>
  <si>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</si>
  <si>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</si>
  <si>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</si>
  <si>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</si>
  <si>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</si>
  <si>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</si>
  <si>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</si>
  <si>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</si>
  <si>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</si>
  <si>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</si>
  <si>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</si>
  <si>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</si>
  <si>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</si>
  <si>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</si>
  <si>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</si>
  <si>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</si>
  <si>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</si>
  <si>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</si>
  <si>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</si>
  <si>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</si>
  <si>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</si>
  <si>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</si>
  <si>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</si>
  <si>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</si>
  <si>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</si>
  <si>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</si>
  <si>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</si>
  <si>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</si>
  <si>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</si>
  <si>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</si>
  <si>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</si>
  <si>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</si>
  <si>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</si>
  <si>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</si>
  <si>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</si>
  <si>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</si>
  <si>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</si>
  <si>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</si>
  <si>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</si>
  <si>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</si>
  <si>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</si>
  <si>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</si>
  <si>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</si>
  <si>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</si>
  <si>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</si>
  <si>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</si>
  <si>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</si>
  <si>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</si>
  <si>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</si>
  <si>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</si>
  <si>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</si>
  <si>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</si>
  <si>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</si>
  <si>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</si>
  <si>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</si>
  <si>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</si>
  <si>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</si>
  <si>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</si>
  <si>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</si>
  <si>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</si>
  <si>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</si>
  <si>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</si>
  <si>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</si>
  <si>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</si>
  <si>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</si>
  <si>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</si>
  <si>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</si>
  <si>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</si>
  <si>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</si>
  <si>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</si>
  <si>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</si>
  <si>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</si>
  <si>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</si>
  <si>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</si>
  <si>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</si>
  <si>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</si>
  <si>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</si>
  <si>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</si>
  <si>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</si>
  <si>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</si>
  <si>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</si>
  <si>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</si>
  <si>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</si>
  <si>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</si>
  <si>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</si>
  <si>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</si>
  <si>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</si>
  <si>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</si>
  <si>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</si>
  <si>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</si>
  <si>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</si>
  <si>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</si>
  <si>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</si>
  <si>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</si>
  <si>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</si>
  <si>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</si>
  <si>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</si>
  <si>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</si>
  <si>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</si>
  <si>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</si>
  <si>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</si>
  <si>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</si>
  <si>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</si>
  <si>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</si>
  <si>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</si>
  <si>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</si>
  <si>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</si>
  <si>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</si>
  <si>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</si>
  <si>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</si>
  <si>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</si>
  <si>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</si>
  <si>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</si>
  <si>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</si>
  <si>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</si>
  <si>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</si>
  <si>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</si>
  <si>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</si>
  <si>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</si>
  <si>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</si>
  <si>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</si>
  <si>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</si>
  <si>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</si>
  <si>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</si>
  <si>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</si>
  <si>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</si>
  <si>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</si>
  <si>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</si>
  <si>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</si>
  <si>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</si>
  <si>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</si>
  <si>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</si>
  <si>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</si>
  <si>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</si>
  <si>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</si>
  <si>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</si>
  <si>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</si>
  <si>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</si>
  <si>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</si>
  <si>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</si>
  <si>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</si>
  <si>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</si>
  <si>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</si>
  <si>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</si>
  <si>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</si>
  <si>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</si>
  <si>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</si>
  <si>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</si>
  <si>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</si>
  <si>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</si>
  <si>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</si>
  <si>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</si>
  <si>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</si>
  <si>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</si>
  <si>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</si>
  <si>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</si>
  <si>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</si>
  <si>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</si>
  <si>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</si>
  <si>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</si>
  <si>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</si>
  <si>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</si>
  <si>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</si>
  <si>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</si>
  <si>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</si>
  <si>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</si>
  <si>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</si>
  <si>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</si>
  <si>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</si>
  <si>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</si>
  <si>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</si>
  <si>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</si>
  <si>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</si>
  <si>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</si>
  <si>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</si>
  <si>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</si>
  <si>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</si>
  <si>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</si>
  <si>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</si>
  <si>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</si>
  <si>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</si>
  <si>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</si>
  <si>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</si>
  <si>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</si>
  <si>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</si>
  <si>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</si>
  <si>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</si>
  <si>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</si>
  <si>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</si>
  <si>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</si>
  <si>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</si>
  <si>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</si>
  <si>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</si>
  <si>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</si>
  <si>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</si>
  <si>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</si>
  <si>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</si>
  <si>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</si>
  <si>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</si>
  <si>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</si>
  <si>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</si>
  <si>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</si>
  <si>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</si>
  <si>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</si>
  <si>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</si>
  <si>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</si>
  <si>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</si>
  <si>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</si>
  <si>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</si>
  <si>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</si>
  <si>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</si>
  <si>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</si>
  <si>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</si>
  <si>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</si>
  <si>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</si>
  <si>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</si>
  <si>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</si>
  <si>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</si>
  <si>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</si>
  <si>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</si>
  <si>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</si>
  <si>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</si>
  <si>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</si>
  <si>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</si>
  <si>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</si>
  <si>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</si>
  <si>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</si>
  <si>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</si>
  <si>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</si>
  <si>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</si>
  <si>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</si>
  <si>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</si>
  <si>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</si>
  <si>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</si>
  <si>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</si>
  <si>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</si>
  <si>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</si>
  <si>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</si>
  <si>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</si>
  <si>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</si>
  <si>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</si>
  <si>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</si>
  <si>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</si>
  <si>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</si>
  <si>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</si>
  <si>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</si>
  <si>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</si>
  <si>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</si>
  <si>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</si>
  <si>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</si>
  <si>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</si>
  <si>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</si>
  <si>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</si>
  <si>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</si>
  <si>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</si>
  <si>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</si>
  <si>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</si>
  <si>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</si>
  <si>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</si>
  <si>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</si>
  <si>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</si>
  <si>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</si>
  <si>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</si>
  <si>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</si>
  <si>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</si>
  <si>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</si>
  <si>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</si>
  <si>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</si>
  <si>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</si>
  <si>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</si>
  <si>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</si>
  <si>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</si>
  <si>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</si>
  <si>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</si>
  <si>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</si>
  <si>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</si>
  <si>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</si>
  <si>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</si>
  <si>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</si>
  <si>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</si>
  <si>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</si>
  <si>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</si>
  <si>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</si>
  <si>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</si>
  <si>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</si>
  <si>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</si>
  <si>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</si>
  <si>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</si>
  <si>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</si>
  <si>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</si>
  <si>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</si>
  <si>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</si>
  <si>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</si>
  <si>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</si>
  <si>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</si>
  <si>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</si>
  <si>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</si>
  <si>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</si>
  <si>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</si>
  <si>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</si>
  <si>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</si>
  <si>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</si>
  <si>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</si>
  <si>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</si>
  <si>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</si>
  <si>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</si>
  <si>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</si>
  <si>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</si>
  <si>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</si>
  <si>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</si>
  <si>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</si>
  <si>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</si>
  <si>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</si>
  <si>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</si>
  <si>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</si>
  <si>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</si>
  <si>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</si>
  <si>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</si>
  <si>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</si>
  <si>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</si>
  <si>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</si>
  <si>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</si>
  <si>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</si>
  <si>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</si>
  <si>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</si>
  <si>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</si>
  <si>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</si>
  <si>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</si>
  <si>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</si>
  <si>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</si>
  <si>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</si>
  <si>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</si>
  <si>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</si>
  <si>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</si>
  <si>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</si>
  <si>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</si>
  <si>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</si>
  <si>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</si>
  <si>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</si>
  <si>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</si>
  <si>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</si>
  <si>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</si>
  <si>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</si>
  <si>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</si>
  <si>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</si>
  <si>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</si>
  <si>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</si>
  <si>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</si>
  <si>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</si>
  <si>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</si>
  <si>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</si>
  <si>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</si>
  <si>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</si>
  <si>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</si>
  <si>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</si>
  <si>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</si>
  <si>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</si>
  <si>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</si>
  <si>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</si>
  <si>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</si>
  <si>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</si>
  <si>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</si>
  <si>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</si>
  <si>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</si>
  <si>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</si>
  <si>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</si>
  <si>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</si>
  <si>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</si>
  <si>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</si>
  <si>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</si>
  <si>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</si>
  <si>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</si>
  <si>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</si>
  <si>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</si>
  <si>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</si>
  <si>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</si>
  <si>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</si>
  <si>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</si>
  <si>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</si>
  <si>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</si>
  <si>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</si>
  <si>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</si>
  <si>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</si>
  <si>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</si>
  <si>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</si>
  <si>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</si>
  <si>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</si>
  <si>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</si>
  <si>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</si>
  <si>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</si>
  <si>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</si>
  <si>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</si>
  <si>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</si>
  <si>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</si>
  <si>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</si>
  <si>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</si>
  <si>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</si>
  <si>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</si>
  <si>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</si>
  <si>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</si>
  <si>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</si>
  <si>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</si>
  <si>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</si>
  <si>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</si>
  <si>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</si>
  <si>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</si>
  <si>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</si>
  <si>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</si>
  <si>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</si>
  <si>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</si>
  <si>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</si>
  <si>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</si>
  <si>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</si>
  <si>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</si>
  <si>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</si>
  <si>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</si>
  <si>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</si>
  <si>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</si>
  <si>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</si>
  <si>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</si>
  <si>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</si>
  <si>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</si>
  <si>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</si>
  <si>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</si>
  <si>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</si>
  <si>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</si>
  <si>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</si>
  <si>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</si>
  <si>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</si>
  <si>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</si>
  <si>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</si>
  <si>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</si>
  <si>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</si>
  <si>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</si>
  <si>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</si>
  <si>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</si>
  <si>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</si>
  <si>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</si>
  <si>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</si>
  <si>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</si>
  <si>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</si>
  <si>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</si>
  <si>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</si>
  <si>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</si>
  <si>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</si>
  <si>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</si>
  <si>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</si>
  <si>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</si>
  <si>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</si>
  <si>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</si>
  <si>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</si>
  <si>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</si>
  <si>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</si>
  <si>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</si>
  <si>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</si>
  <si>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</si>
  <si>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</si>
  <si>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</si>
  <si>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</si>
  <si>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</si>
  <si>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</si>
  <si>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</si>
  <si>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</si>
  <si>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</si>
  <si>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</si>
  <si>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</si>
  <si>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</si>
  <si>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</si>
  <si>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</si>
  <si>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</si>
  <si>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</si>
  <si>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</si>
  <si>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</si>
  <si>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</si>
  <si>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</si>
  <si>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</si>
  <si>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</si>
  <si>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</si>
  <si>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</si>
  <si>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</si>
  <si>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</si>
  <si>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</si>
  <si>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</si>
  <si>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</si>
  <si>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</si>
  <si>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</si>
  <si>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</si>
  <si>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</si>
  <si>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</si>
  <si>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</si>
  <si>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</si>
  <si>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</si>
  <si>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</si>
  <si>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</si>
  <si>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</si>
  <si>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</si>
  <si>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</si>
  <si>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</si>
  <si>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</si>
  <si>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</si>
  <si>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</si>
  <si>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</si>
  <si>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</si>
  <si>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</si>
  <si>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</si>
  <si>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</si>
  <si>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</si>
  <si>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</si>
  <si>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</si>
  <si>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</si>
  <si>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</si>
  <si>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</si>
  <si>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</si>
  <si>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</si>
  <si>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</si>
  <si>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</si>
  <si>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</si>
  <si>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</si>
  <si>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</si>
  <si>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</si>
  <si>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</si>
  <si>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</si>
  <si>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</si>
  <si>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</si>
  <si>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</si>
  <si>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</si>
  <si>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</si>
  <si>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</si>
  <si>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</si>
  <si>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</si>
  <si>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</si>
  <si>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</si>
  <si>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</si>
  <si>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</si>
  <si>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</si>
  <si>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</si>
  <si>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</si>
  <si>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</si>
  <si>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</si>
  <si>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</si>
  <si>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</si>
  <si>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</si>
  <si>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</si>
  <si>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</si>
  <si>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</si>
  <si>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</si>
  <si>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</si>
  <si>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</si>
  <si>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</si>
  <si>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</si>
  <si>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</si>
  <si>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</si>
  <si>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</si>
  <si>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</si>
  <si>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</si>
  <si>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</si>
  <si>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</si>
  <si>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</si>
  <si>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</si>
  <si>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</si>
  <si>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</si>
  <si>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</si>
  <si>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</si>
  <si>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</si>
  <si>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</si>
  <si>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</si>
  <si>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</si>
  <si>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</si>
  <si>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</si>
  <si>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</si>
  <si>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</si>
  <si>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</si>
  <si>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</si>
  <si>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</si>
  <si>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</si>
  <si>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</si>
  <si>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</si>
  <si>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</si>
  <si>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</si>
  <si>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</si>
  <si>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</si>
  <si>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</si>
  <si>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</si>
  <si>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</si>
  <si>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</si>
  <si>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</si>
  <si>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</si>
  <si>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</si>
  <si>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</si>
  <si>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</si>
  <si>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</si>
  <si>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</si>
  <si>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</si>
  <si>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</si>
  <si>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</si>
  <si>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</si>
  <si>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</si>
  <si>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</si>
  <si>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</si>
  <si>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</si>
  <si>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</si>
  <si>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</si>
  <si>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</si>
  <si>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</si>
  <si>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</si>
  <si>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</si>
  <si>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</si>
  <si>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</si>
  <si>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</si>
  <si>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</si>
  <si>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</si>
  <si>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</si>
  <si>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</si>
  <si>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</si>
  <si>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</si>
  <si>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</si>
  <si>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</si>
  <si>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</si>
  <si>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</si>
  <si>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</si>
  <si>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</si>
  <si>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</si>
  <si>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</si>
  <si>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</si>
  <si>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</si>
  <si>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</si>
  <si>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</si>
  <si>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</si>
  <si>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</si>
  <si>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</si>
  <si>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</si>
  <si>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</si>
  <si>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</si>
  <si>
    <t>other</t>
  </si>
  <si>
    <t>ctrl+1=&gt;for formatting cells instead of right click and select</t>
  </si>
  <si>
    <t>ctrl+t =&gt;for direct table formatting</t>
  </si>
  <si>
    <t>averagesalary</t>
  </si>
  <si>
    <t>time</t>
  </si>
  <si>
    <t>hiding 0's</t>
  </si>
  <si>
    <t>hiding -ve's</t>
  </si>
  <si>
    <t>hiding +ve's</t>
  </si>
  <si>
    <t>#.0</t>
  </si>
  <si>
    <t>#.00</t>
  </si>
  <si>
    <t>#.000</t>
  </si>
  <si>
    <t>1.using #,##0;-#,##0;#,##0;</t>
  </si>
  <si>
    <t>2.for +ve values =&gt;#,##0;;;</t>
  </si>
  <si>
    <t>3.vice versa for -ve and 0's</t>
  </si>
  <si>
    <t>differ from average</t>
  </si>
  <si>
    <t>Count of Work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</si>
</sst>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&quot;$&quot;#,##0.00_);[Red]\(&quot;$&quot;#,##0.00\)"/>
    <numFmt numFmtId="165" formatCode="0.0"/>
    <numFmt numFmtId="166" formatCode="&quot;₹&quot;\ #,##0"/>
    <numFmt numFmtId="167" formatCode="[$-10409]hh:mm:ss\ AM/PM;@"/>
    <numFmt numFmtId="168" formatCode="#####\-#####"/>
    <numFmt numFmtId="170" formatCode="#,##0;&quot;negative&quot;;#,##0;"/>
    <numFmt numFmtId="171" formatCode="&quot;positive&quot;;\-#,##0;;"/>
    <numFmt numFmtId="172" formatCode="#.0"/>
    <numFmt numFmtId="173" formatCode="#.00"/>
    <numFmt numFmtId="174" formatCode="#.000"/>
  </numFmts>
  <fonts count="5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3" borderId="1" applyNumberFormat="0" applyAlignment="0" applyProtection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68" fontId="0" fillId="0" borderId="0" xfId="0" applyNumberFormat="1"/>
    <xf numFmtId="170" fontId="0" fillId="0" borderId="0" xfId="0" applyNumberFormat="1" applyAlignment="1">
      <alignment horizontal="center" vertical="center"/>
    </xf>
    <xf numFmtId="0" fontId="3" fillId="3" borderId="1" xfId="2" applyAlignment="1">
      <alignment horizontal="center" vertical="center"/>
    </xf>
    <xf numFmtId="43" fontId="0" fillId="0" borderId="0" xfId="1" applyFont="1"/>
    <xf numFmtId="171" fontId="3" fillId="3" borderId="1" xfId="2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alculation" xfId="2" builtinId="22"/>
    <cellStyle name="Comma" xfId="1" builtinId="3"/>
    <cellStyle name="Normal" xfId="0" builtinId="0"/>
  </cellStyles>
  <dxfs count="31"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numFmt numFmtId="1" formatCode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&quot;₹&quot;\ 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27560"/>
      <color rgb="FFD163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Table" Target="pivotTables/pivotTable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Table" Target="pivotTables/pivotTable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Table" Target="pivotTables/pivotTable3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Table" Target="pivotTables/pivotTable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[formatting.xlsx]Sheet2!PivotTable5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Work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7"/>
                <c:pt idx="0">
                  <c:v>Auckland, New Zealand</c:v>
                </c:pt>
                <c:pt idx="1">
                  <c:v>Chennai, India</c:v>
                </c:pt>
                <c:pt idx="2">
                  <c:v>Columbus, USA</c:v>
                </c:pt>
                <c:pt idx="3">
                  <c:v>Hyderabad, India</c:v>
                </c:pt>
                <c:pt idx="4">
                  <c:v>Remote</c:v>
                </c:pt>
                <c:pt idx="5">
                  <c:v>Seattle, USA</c:v>
                </c:pt>
                <c:pt idx="6">
                  <c:v>Wellington, New Zealand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24</c:v>
                </c:pt>
                <c:pt idx="1">
                  <c:v>30</c:v>
                </c:pt>
                <c:pt idx="2">
                  <c:v>26</c:v>
                </c:pt>
                <c:pt idx="3">
                  <c:v>39</c:v>
                </c:pt>
                <c:pt idx="4">
                  <c:v>58</c:v>
                </c:pt>
                <c:pt idx="5">
                  <c:v>22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4-4906-A2CD-2FF49CD25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3227647"/>
        <c:axId val="873230527"/>
      </c:barChart>
      <c:catAx>
        <c:axId val="87322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30527"/>
        <c:crosses val="autoZero"/>
        <c:auto val="1"/>
        <c:lblAlgn val="ctr"/>
        <c:lblOffset val="100"/>
        <c:noMultiLvlLbl val="0"/>
      </c:catAx>
      <c:valAx>
        <c:axId val="87323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2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8126364.5700000003</c:v>
              </c:pt>
              <c:pt idx="1">
                <c:v>8089466.4500000002</c:v>
              </c:pt>
            </c:numLit>
          </c:val>
          <c:extLst>
            <c:ext xmlns:c16="http://schemas.microsoft.com/office/drawing/2014/chart" uri="{C3380CC4-5D6E-409C-BE32-E72D297353CC}">
              <c16:uniqueId val="{00000000-455E-4A98-BFD5-CC2CEE0C97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73234847"/>
        <c:axId val="873235327"/>
      </c:barChart>
      <c:catAx>
        <c:axId val="8732348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353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7323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3484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[formatting.xlsx]PivotChartTable1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2018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4431826.5999999996</c:v>
              </c:pt>
            </c:numLit>
          </c:val>
          <c:extLst>
            <c:ext xmlns:c16="http://schemas.microsoft.com/office/drawing/2014/chart" uri="{C3380CC4-5D6E-409C-BE32-E72D297353CC}">
              <c16:uniqueId val="{00000000-992E-46A0-AA23-733DE7D03F00}"/>
            </c:ext>
          </c:extLst>
        </c:ser>
        <c:ser>
          <c:idx val="1"/>
          <c:order val="1"/>
          <c:tx>
            <c:v>2019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4197358.42</c:v>
              </c:pt>
            </c:numLit>
          </c:val>
          <c:extLst>
            <c:ext xmlns:c16="http://schemas.microsoft.com/office/drawing/2014/chart" uri="{C3380CC4-5D6E-409C-BE32-E72D297353CC}">
              <c16:uniqueId val="{00000001-992E-46A0-AA23-733DE7D03F00}"/>
            </c:ext>
          </c:extLst>
        </c:ser>
        <c:ser>
          <c:idx val="2"/>
          <c:order val="2"/>
          <c:tx>
            <c:v>2020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4772762.0199999996</c:v>
              </c:pt>
            </c:numLit>
          </c:val>
          <c:extLst>
            <c:ext xmlns:c16="http://schemas.microsoft.com/office/drawing/2014/chart" uri="{C3380CC4-5D6E-409C-BE32-E72D297353CC}">
              <c16:uniqueId val="{00000002-992E-46A0-AA23-733DE7D03F00}"/>
            </c:ext>
          </c:extLst>
        </c:ser>
        <c:ser>
          <c:idx val="3"/>
          <c:order val="3"/>
          <c:tx>
            <c:v>2021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2813883.98</c:v>
              </c:pt>
            </c:numLit>
          </c:val>
          <c:extLst>
            <c:ext xmlns:c16="http://schemas.microsoft.com/office/drawing/2014/chart" uri="{C3380CC4-5D6E-409C-BE32-E72D297353CC}">
              <c16:uniqueId val="{00000003-992E-46A0-AA23-733DE7D03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3234847"/>
        <c:axId val="873235327"/>
      </c:barChart>
      <c:catAx>
        <c:axId val="8732348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353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7323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23484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[formatting.xlsx]PivotChartTable3</c15:name>
        <c15:fmtId val="4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Fixed Term</c:v>
              </c:pt>
              <c:pt idx="1">
                <c:v>Permanent</c:v>
              </c:pt>
              <c:pt idx="2">
                <c:v>Temporary</c:v>
              </c:pt>
            </c:strLit>
          </c:cat>
          <c:val>
            <c:numLit>
              <c:formatCode>General</c:formatCode>
              <c:ptCount val="3"/>
              <c:pt idx="0">
                <c:v>42</c:v>
              </c:pt>
              <c:pt idx="1">
                <c:v>147</c:v>
              </c:pt>
              <c:pt idx="2">
                <c:v>33</c:v>
              </c:pt>
            </c:numLit>
          </c:val>
          <c:extLst>
            <c:ext xmlns:c16="http://schemas.microsoft.com/office/drawing/2014/chart" uri="{C3380CC4-5D6E-409C-BE32-E72D297353CC}">
              <c16:uniqueId val="{0000002E-8576-4F99-9DF3-6D8025AD4D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[formatting.xlsx]PivotChartTable4</c15:name>
        <c15:fmtId val="6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97.999999999999986</c:v>
              </c:pt>
              <c:pt idx="1">
                <c:v>100.6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139A-4E80-8B6A-882BCDBBC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6716831"/>
        <c:axId val="904491359"/>
      </c:lineChart>
      <c:catAx>
        <c:axId val="9267168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91359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0449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16831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[formatting.xlsx]PivotChartTable5</c15:name>
        <c15:fmtId val="8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338137</xdr:colOff>
      <xdr:row>8</xdr:row>
      <xdr:rowOff>76200</xdr:rowOff>
    </xdr:from>
    <xdr:to>
      <xdr:col>10</xdr:col>
      <xdr:colOff>719137</xdr:colOff>
      <xdr:row>19</xdr:row>
      <xdr:rowOff>200025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5B4FE-CC2D-E22C-A7FF-BD8B28FEA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271462</xdr:colOff>
      <xdr:row>4</xdr:row>
      <xdr:rowOff>66675</xdr:rowOff>
    </xdr:from>
    <xdr:to>
      <xdr:col>5</xdr:col>
      <xdr:colOff>652462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FF2BE-4185-02BC-92D3-7D211C700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19</xdr:row>
      <xdr:rowOff>38100</xdr:rowOff>
    </xdr:from>
    <xdr:to>
      <xdr:col>5</xdr:col>
      <xdr:colOff>647700</xdr:colOff>
      <xdr:row>30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48CF39-CB0C-4CF0-9992-77B666898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4</xdr:row>
      <xdr:rowOff>57150</xdr:rowOff>
    </xdr:from>
    <xdr:to>
      <xdr:col>12</xdr:col>
      <xdr:colOff>419100</xdr:colOff>
      <xdr:row>15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E3C625-90E8-4F84-A2AE-2C9F99809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85725</xdr:colOff>
      <xdr:row>19</xdr:row>
      <xdr:rowOff>19050</xdr:rowOff>
    </xdr:from>
    <xdr:to>
      <xdr:col>12</xdr:col>
      <xdr:colOff>466725</xdr:colOff>
      <xdr:row>30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658610-B27A-4F6E-B06B-A069E15EC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2802848</xdr:colOff>
      <xdr:row>0</xdr:row>
      <xdr:rowOff>197935</xdr:rowOff>
    </xdr:from>
    <xdr:ext cx="3376374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58A9FDE-ECE0-F311-6279-A1FF786DFE47}"/>
            </a:ext>
          </a:extLst>
        </xdr:cNvPr>
        <xdr:cNvSpPr/>
      </xdr:nvSpPr>
      <xdr:spPr>
        <a:xfrm>
          <a:off x="20109773" y="197935"/>
          <a:ext cx="337637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Formatting</a:t>
          </a:r>
        </a:p>
      </xdr:txBody>
    </xdr:sp>
    <xdr:clientData/>
  </xdr:oneCellAnchor>
  <xdr:oneCellAnchor>
    <xdr:from>
      <xdr:col>12</xdr:col>
      <xdr:colOff>557998</xdr:colOff>
      <xdr:row>22</xdr:row>
      <xdr:rowOff>121736</xdr:rowOff>
    </xdr:from>
    <xdr:ext cx="3960829" cy="64979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EF4DFF1-CC77-0D63-45FF-D8BD782CB829}"/>
            </a:ext>
          </a:extLst>
        </xdr:cNvPr>
        <xdr:cNvSpPr/>
      </xdr:nvSpPr>
      <xdr:spPr>
        <a:xfrm>
          <a:off x="19246048" y="5360486"/>
          <a:ext cx="3960829" cy="64979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hiding</a:t>
          </a:r>
          <a:r>
            <a:rPr lang="en-US" sz="5400" b="1" cap="none" spc="0" baseline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 values</a:t>
          </a:r>
          <a:endParaRPr lang="en-US" sz="54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19</xdr:col>
      <xdr:colOff>265851</xdr:colOff>
      <xdr:row>22</xdr:row>
      <xdr:rowOff>159835</xdr:rowOff>
    </xdr:from>
    <xdr:ext cx="2716321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17346FE-938B-0623-C0EA-0DE3389800E4}"/>
            </a:ext>
          </a:extLst>
        </xdr:cNvPr>
        <xdr:cNvSpPr/>
      </xdr:nvSpPr>
      <xdr:spPr>
        <a:xfrm>
          <a:off x="25097526" y="5398585"/>
          <a:ext cx="271632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decimals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3216898145" createdVersion="8" refreshedVersion="8" minRefreshableVersion="3" recordCount="222" xr:uid="{CA3296EB-4F23-4CC8-ACCA-160C59FDCA6B}">
  <cacheSource type="worksheet">
    <worksheetSource name="Salary__2"/>
  </cacheSource>
  <cacheFields count="11">
    <cacheField name="Emp ID" numFmtId="0">
      <sharedItems/>
    </cacheField>
    <cacheField name="Name" numFmtId="0">
      <sharedItems/>
    </cacheField>
    <cacheField name="Gender" numFmtId="0">
      <sharedItems/>
    </cacheField>
    <cacheField name="Department" numFmtId="0">
      <sharedItems/>
    </cacheField>
    <cacheField name="Salary" numFmtId="166">
      <sharedItems containsSemiMixedTypes="0" containsString="0" containsNumber="1" minValue="28160.79" maxValue="120000"/>
    </cacheField>
    <cacheField name="Start Date" numFmtId="14">
      <sharedItems containsSemiMixedTypes="0" containsNonDate="0" containsDate="1" containsString="0" minDate="2018-01-12T00:00:00" maxDate="2021-11-11T00:00:00"/>
    </cacheField>
    <cacheField name="FTE" numFmtId="0">
      <sharedItems containsSemiMixedTypes="0" containsString="0" containsNumber="1" minValue="0.2" maxValue="1"/>
    </cacheField>
    <cacheField name="Employee type" numFmtId="0">
      <sharedItems/>
    </cacheField>
    <cacheField name="Work location" numFmtId="0">
      <sharedItems count="7">
        <s v="Wellington, New Zealand"/>
        <s v="Hyderabad, India"/>
        <s v="Columbus, USA"/>
        <s v="Remote"/>
        <s v="Chennai, India"/>
        <s v="Seattle, USA"/>
        <s v="Auckland, New Zealand"/>
      </sharedItems>
    </cacheField>
    <cacheField name="differ from average" numFmtId="1">
      <sharedItems containsSemiMixedTypes="0" containsString="0" containsNumber="1" minValue="-44883.493873873835" maxValue="46955.716126126164"/>
    </cacheField>
    <cacheField name="time" numFmtId="167">
      <sharedItems containsSemiMixedTypes="0" containsNonDate="0" containsDate="1" containsString="0" minDate="1899-12-30T01:59:00" maxDate="1900-01-05T12:45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77.672062268517" backgroundQuery="1" createdVersion="8" refreshedVersion="8" minRefreshableVersion="3" recordCount="0" supportSubquery="1" supportAdvancedDrill="1" xr:uid="{D8C5E782-EA2F-4136-8A0F-E7D6507FEAC9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Count of Gender]" caption="Count of Gender" numFmtId="0" hierarchy="23" level="32767"/>
    <cacheField name="[Salary__2].[Employee type].[Employee type]" caption="Employee type" numFmtId="0" hierarchy="7" level="1">
      <sharedItems count="3">
        <s v="Fixed Term"/>
        <s v="Permanent"/>
        <s v="Temporary"/>
      </sharedItems>
    </cacheField>
  </cacheFields>
  <cacheHierarchies count="26">
    <cacheHierarchy uniqueName="[Salary__2].[Emp ID]" caption="Emp ID" attribute="1" defaultMemberUniqueName="[Salary__2].[Emp ID].[All]" allUniqueName="[Salary__2].[Emp ID].[All]" dimensionUniqueName="[Salary__2]" displayFolder="" count="0" memberValueDatatype="130" unbalanced="0"/>
    <cacheHierarchy uniqueName="[Salary__2].[Name]" caption="Name" attribute="1" defaultMemberUniqueName="[Salary__2].[Name].[All]" allUniqueName="[Salary__2].[Name].[All]" dimensionUniqueName="[Salary__2]" displayFolder="" count="0" memberValueDatatype="130" unbalanced="0"/>
    <cacheHierarchy uniqueName="[Salary__2].[Gender]" caption="Gender" attribute="1" defaultMemberUniqueName="[Salary__2].[Gender].[All]" allUniqueName="[Salary__2].[Gender].[All]" dimensionUniqueName="[Salary__2]" displayFolder="" count="0" memberValueDatatype="130" unbalanced="0"/>
    <cacheHierarchy uniqueName="[Salary__2].[Department]" caption="Department" attribute="1" defaultMemberUniqueName="[Salary__2].[Department].[All]" allUniqueName="[Salary__2].[Department].[All]" dimensionUniqueName="[Salary__2]" displayFolder="" count="0" memberValueDatatype="130" unbalanced="0"/>
    <cacheHierarchy uniqueName="[Salary__2].[Salary]" caption="Salary" attribute="1" defaultMemberUniqueName="[Salary__2].[Salary].[All]" allUniqueName="[Salary__2].[Salary].[All]" dimensionUniqueName="[Salary__2]" displayFolder="" count="0" memberValueDatatype="5" unbalanced="0"/>
    <cacheHierarchy uniqueName="[Salary__2].[Start Date]" caption="Start Date" attribute="1" time="1" defaultMemberUniqueName="[Salary__2].[Start Date].[All]" allUniqueName="[Salary__2].[Start Date].[All]" dimensionUniqueName="[Salary__2]" displayFolder="" count="0" memberValueDatatype="7" unbalanced="0"/>
    <cacheHierarchy uniqueName="[Salary__2].[FTE]" caption="FTE" attribute="1" defaultMemberUniqueName="[Salary__2].[FTE].[All]" allUniqueName="[Salary__2].[FTE].[All]" dimensionUniqueName="[Salary__2]" displayFolder="" count="0" memberValueDatatype="5" unbalanced="0"/>
    <cacheHierarchy uniqueName="[Salary__2].[Employee type]" caption="Employee type" attribute="1" defaultMemberUniqueName="[Salary__2].[Employee type].[All]" allUniqueName="[Salary__2].[Employee type].[All]" dimensionUniqueName="[Salary__2]" displayFolder="" count="2" memberValueDatatype="130" unbalanced="0">
      <fieldsUsage count="2">
        <fieldUsage x="-1"/>
        <fieldUsage x="1"/>
      </fieldsUsage>
    </cacheHierarchy>
    <cacheHierarchy uniqueName="[Salary__2].[Work location]" caption="Work location" attribute="1" defaultMemberUniqueName="[Salary__2].[Work location].[All]" allUniqueName="[Salary__2].[Work location].[All]" dimensionUniqueName="[Salary__2]" displayFolder="" count="0" memberValueDatatype="130" unbalanced="0"/>
    <cacheHierarchy uniqueName="[Salary__2].[differ from average]" caption="differ from average" attribute="1" defaultMemberUniqueName="[Salary__2].[differ from average].[All]" allUniqueName="[Salary__2].[differ from average].[All]" dimensionUniqueName="[Salary__2]" displayFolder="" count="0" memberValueDatatype="5" unbalanced="0"/>
    <cacheHierarchy uniqueName="[Salary__2].[time]" caption="time" attribute="1" time="1" defaultMemberUniqueName="[Salary__2].[time].[All]" allUniqueName="[Salary__2].[time].[All]" dimensionUniqueName="[Salary__2]" displayFolder="" count="0" memberValueDatatype="7" unbalanced="0"/>
    <cacheHierarchy uniqueName="[Salary__2].[Start Date (Year)]" caption="Start Date (Year)" attribute="1" defaultMemberUniqueName="[Salary__2].[Start Date (Year)].[All]" allUniqueName="[Salary__2].[Start Date (Year)].[All]" dimensionUniqueName="[Salary__2]" displayFolder="" count="0" memberValueDatatype="130" unbalanced="0"/>
    <cacheHierarchy uniqueName="[Salary__2].[Start Date (Quarter)]" caption="Start Date (Quarter)" attribute="1" defaultMemberUniqueName="[Salary__2].[Start Date (Quarter)].[All]" allUniqueName="[Salary__2].[Start Date (Quarter)].[All]" dimensionUniqueName="[Salary__2]" displayFolder="" count="0" memberValueDatatype="130" unbalanced="0"/>
    <cacheHierarchy uniqueName="[Salary__2].[Start Date (Month)]" caption="Start Date (Month)" attribute="1" defaultMemberUniqueName="[Salary__2].[Start Date (Month)].[All]" allUniqueName="[Salary__2].[Start Date (Month)].[All]" dimensionUniqueName="[Salary__2]" displayFolder="" count="0" memberValueDatatype="130" unbalanced="0"/>
    <cacheHierarchy uniqueName="[Salary__2].[Start Date (Month Index)]" caption="Start Date (Month Index)" attribute="1" defaultMemberUniqueName="[Salary__2].[Start Date (Month Index)].[All]" allUniqueName="[Salary__2].[Start Date (Month Index)].[All]" dimensionUniqueName="[Salary__2]" displayFolder="" count="0" memberValueDatatype="20" unbalanced="0" hidden="1"/>
    <cacheHierarchy uniqueName="[Measures].[__XL_Count Salary__2]" caption="__XL_Count Salary__2" measure="1" displayFolder="" measureGroup="Salary__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Salary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rt Date (Year)]" caption="Count of Start Date (Year)" measure="1" displayFolder="" measureGroup="Salary__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tart Date (Quarter)]" caption="Count of Start Date (Quarter)" measure="1" displayFolder="" measureGroup="Salary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tart Date (Month)]" caption="Count of Start Date (Month)" measure="1" displayFolder="" measureGroup="Salary_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Employee type]" caption="Count of Employee type" measure="1" displayFolder="" measureGroup="Salary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Salary_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Salary__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ffer from average]" caption="Sum of differ from average" measure="1" displayFolder="" measureGroup="Salary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TE]" caption="Sum of FTE" measure="1" displayFolder="" measureGroup="Salary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Salary__2" uniqueName="[Salary__2]" caption="Salary__2"/>
  </dimensions>
  <measureGroups count="1">
    <measureGroup name="Salary__2" caption="Salary__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40395841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77.669012615741" backgroundQuery="1" createdVersion="8" refreshedVersion="8" minRefreshableVersion="3" recordCount="0" supportSubquery="1" supportAdvancedDrill="1" xr:uid="{6E7B41F4-2642-4701-9416-0DB5B9387D0B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Sum of Salary]" caption="Sum of Salary" numFmtId="0" hierarchy="17" level="32767"/>
    <cacheField name="[Salary__2].[Start Date].[Start Date]" caption="Start Date" numFmtId="0" hierarchy="5" level="1">
      <sharedItems containsSemiMixedTypes="0" containsNonDate="0" containsDate="1" containsString="0" minDate="2018-01-12T00:00:00" maxDate="2021-11-11T00:00:00" count="191">
        <d v="2018-01-12T00:00:00"/>
        <d v="2018-01-29T00:00:00"/>
        <d v="2018-02-02T00:00:00"/>
        <d v="2018-02-05T00:00:00"/>
        <d v="2018-02-15T00:00:00"/>
        <d v="2018-02-21T00:00:00"/>
        <d v="2018-03-05T00:00:00"/>
        <d v="2018-03-12T00:00:00"/>
        <d v="2018-03-21T00:00:00"/>
        <d v="2018-04-02T00:00:00"/>
        <d v="2018-04-16T00:00:00"/>
        <d v="2018-04-23T00:00:00"/>
        <d v="2018-04-27T00:00:00"/>
        <d v="2018-04-30T00:00:00"/>
        <d v="2018-05-14T00:00:00"/>
        <d v="2018-05-21T00:00:00"/>
        <d v="2018-05-30T00:00:00"/>
        <d v="2018-06-04T00:00:00"/>
        <d v="2018-06-05T00:00:00"/>
        <d v="2018-06-07T00:00:00"/>
        <d v="2018-06-13T00:00:00"/>
        <d v="2018-06-21T00:00:00"/>
        <d v="2018-06-26T00:00:00"/>
        <d v="2018-06-29T00:00:00"/>
        <d v="2018-07-02T00:00:00"/>
        <d v="2018-07-10T00:00:00"/>
        <d v="2018-07-12T00:00:00"/>
        <d v="2018-07-16T00:00:00"/>
        <d v="2018-07-24T00:00:00"/>
        <d v="2018-07-30T00:00:00"/>
        <d v="2018-08-20T00:00:00"/>
        <d v="2018-08-28T00:00:00"/>
        <d v="2018-09-03T00:00:00"/>
        <d v="2018-09-17T00:00:00"/>
        <d v="2018-10-01T00:00:00"/>
        <d v="2018-10-17T00:00:00"/>
        <d v="2018-10-19T00:00:00"/>
        <d v="2018-10-24T00:00:00"/>
        <d v="2018-10-29T00:00:00"/>
        <d v="2018-11-02T00:00:00"/>
        <d v="2018-11-05T00:00:00"/>
        <d v="2018-11-12T00:00:00"/>
        <d v="2018-11-14T00:00:00"/>
        <d v="2018-11-26T00:00:00"/>
        <d v="2018-11-30T00:00:00"/>
        <d v="2018-12-06T00:00:00"/>
        <d v="2018-12-10T00:00:00"/>
        <d v="2018-12-18T00:00:00"/>
        <d v="2018-12-24T00:00:00"/>
        <d v="2018-12-31T00:00:00"/>
        <d v="2019-01-01T00:00:00"/>
        <d v="2019-01-03T00:00:00"/>
        <d v="2019-01-07T00:00:00"/>
        <d v="2019-01-09T00:00:00"/>
        <d v="2019-01-24T00:00:00"/>
        <d v="2019-01-28T00:00:00"/>
        <d v="2019-01-29T00:00:00"/>
        <d v="2019-02-01T00:00:00"/>
        <d v="2019-02-04T00:00:00"/>
        <d v="2019-02-12T00:00:00"/>
        <d v="2019-02-18T00:00:00"/>
        <d v="2019-02-19T00:00:00"/>
        <d v="2019-02-25T00:00:00"/>
        <d v="2019-03-26T00:00:00"/>
        <d v="2019-04-08T00:00:00"/>
        <d v="2019-04-12T00:00:00"/>
        <d v="2019-04-15T00:00:00"/>
        <d v="2019-04-17T00:00:00"/>
        <d v="2019-04-18T00:00:00"/>
        <d v="2019-04-29T00:00:00"/>
        <d v="2019-05-14T00:00:00"/>
        <d v="2019-05-17T00:00:00"/>
        <d v="2019-05-27T00:00:00"/>
        <d v="2019-06-20T00:00:00"/>
        <d v="2019-06-26T00:00:00"/>
        <d v="2019-06-27T00:00:00"/>
        <d v="2019-07-03T00:00:00"/>
        <d v="2019-07-08T00:00:00"/>
        <d v="2019-07-16T00:00:00"/>
        <d v="2019-07-19T00:00:00"/>
        <d v="2019-07-23T00:00:00"/>
        <d v="2019-08-05T00:00:00"/>
        <d v="2019-08-19T00:00:00"/>
        <d v="2019-08-23T00:00:00"/>
        <d v="2019-08-29T00:00:00"/>
        <d v="2019-08-30T00:00:00"/>
        <d v="2019-09-02T00:00:00"/>
        <d v="2019-09-09T00:00:00"/>
        <d v="2019-09-17T00:00:00"/>
        <d v="2019-09-25T00:00:00"/>
        <d v="2019-10-02T00:00:00"/>
        <d v="2019-10-16T00:00:00"/>
        <d v="2019-10-21T00:00:00"/>
        <d v="2019-10-25T00:00:00"/>
        <d v="2019-11-07T00:00:00"/>
        <d v="2019-11-11T00:00:00"/>
        <d v="2019-11-18T00:00:00"/>
        <d v="2019-11-22T00:00:00"/>
        <d v="2019-11-25T00:00:00"/>
        <d v="2019-12-02T00:00:00"/>
        <d v="2019-12-09T00:00:00"/>
        <d v="2019-12-10T00:00:00"/>
        <d v="2019-12-16T00:00:00"/>
        <d v="2019-12-23T00:00:00"/>
        <d v="2019-12-24T00:00:00"/>
        <d v="2019-12-27T00:00:00"/>
        <d v="2020-01-07T00:00:00"/>
        <d v="2020-01-09T00:00:00"/>
        <d v="2020-01-13T00:00:00"/>
        <d v="2020-01-16T00:00:00"/>
        <d v="2020-01-27T00:00:00"/>
        <d v="2020-02-13T00:00:00"/>
        <d v="2020-02-26T00:00:00"/>
        <d v="2020-03-05T00:00:00"/>
        <d v="2020-03-09T00:00:00"/>
        <d v="2020-03-12T00:00:00"/>
        <d v="2020-03-18T00:00:00"/>
        <d v="2020-03-24T00:00:00"/>
        <d v="2020-03-26T00:00:00"/>
        <d v="2020-03-30T00:00:00"/>
        <d v="2020-04-10T00:00:00"/>
        <d v="2020-04-15T00:00:00"/>
        <d v="2020-04-22T00:00:00"/>
        <d v="2020-04-24T00:00:00"/>
        <d v="2020-04-28T00:00:00"/>
        <d v="2020-04-29T00:00:00"/>
        <d v="2020-04-30T00:00:00"/>
        <d v="2020-05-05T00:00:00"/>
        <d v="2020-05-11T00:00:00"/>
        <d v="2020-05-21T00:00:00"/>
        <d v="2020-05-22T00:00:00"/>
        <d v="2020-06-22T00:00:00"/>
        <d v="2020-07-07T00:00:00"/>
        <d v="2020-07-09T00:00:00"/>
        <d v="2020-07-13T00:00:00"/>
        <d v="2020-07-27T00:00:00"/>
        <d v="2020-08-10T00:00:00"/>
        <d v="2020-08-19T00:00:00"/>
        <d v="2020-08-24T00:00:00"/>
        <d v="2020-09-04T00:00:00"/>
        <d v="2020-09-11T00:00:00"/>
        <d v="2020-09-16T00:00:00"/>
        <d v="2020-09-24T00:00:00"/>
        <d v="2020-09-30T00:00:00"/>
        <d v="2020-10-01T00:00:00"/>
        <d v="2020-10-06T00:00:00"/>
        <d v="2020-10-12T00:00:00"/>
        <d v="2020-10-15T00:00:00"/>
        <d v="2020-10-16T00:00:00"/>
        <d v="2020-11-02T00:00:00"/>
        <d v="2020-11-24T00:00:00"/>
        <d v="2020-12-01T00:00:00"/>
        <d v="2020-12-02T00:00:00"/>
        <d v="2020-12-07T00:00:00"/>
        <d v="2020-12-10T00:00:00"/>
        <d v="2020-12-28T00:00:00"/>
        <d v="2020-12-29T00:00:00"/>
        <d v="2020-12-30T00:00:00"/>
        <d v="2021-01-07T00:00:00"/>
        <d v="2021-01-25T00:00:00"/>
        <d v="2021-01-27T00:00:00"/>
        <d v="2021-02-01T00:00:00"/>
        <d v="2021-02-08T00:00:00"/>
        <d v="2021-02-10T00:00:00"/>
        <d v="2021-02-12T00:00:00"/>
        <d v="2021-02-22T00:00:00"/>
        <d v="2021-02-24T00:00:00"/>
        <d v="2021-03-15T00:00:00"/>
        <d v="2021-03-22T00:00:00"/>
        <d v="2021-03-30T00:00:00"/>
        <d v="2021-04-02T00:00:00"/>
        <d v="2021-04-19T00:00:00"/>
        <d v="2021-04-29T00:00:00"/>
        <d v="2021-06-10T00:00:00"/>
        <d v="2021-06-11T00:00:00"/>
        <d v="2021-06-18T00:00:00"/>
        <d v="2021-07-05T00:00:00"/>
        <d v="2021-07-06T00:00:00"/>
        <d v="2021-07-07T00:00:00"/>
        <d v="2021-07-16T00:00:00"/>
        <d v="2021-07-19T00:00:00"/>
        <d v="2021-08-13T00:00:00"/>
        <d v="2021-08-17T00:00:00"/>
        <d v="2021-08-23T00:00:00"/>
        <d v="2021-08-26T00:00:00"/>
        <d v="2021-09-15T00:00:00"/>
        <d v="2021-10-04T00:00:00"/>
        <d v="2021-10-18T00:00:00"/>
        <d v="2021-10-25T00:00:00"/>
        <d v="2021-11-01T00:00:00"/>
        <d v="2021-11-10T00:00:00"/>
      </sharedItems>
    </cacheField>
    <cacheField name="[Salary__2].[Start Date (Month)].[Start Date (Month)]" caption="Start Date (Month)" numFmtId="0" hierarchy="1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lary__2].[Start Date (Quarter)].[Start Date (Quarter)]" caption="Start Date (Quarter)" numFmtId="0" hierarchy="12" level="1">
      <sharedItems count="4">
        <s v="Qtr1"/>
        <s v="Qtr2"/>
        <s v="Qtr3"/>
        <s v="Qtr4"/>
      </sharedItems>
    </cacheField>
    <cacheField name="[Salary__2].[Start Date (Year)].[Start Date (Year)]" caption="Start Date (Year)" numFmtId="0" hierarchy="11" level="1">
      <sharedItems count="4">
        <s v="2018"/>
        <s v="2019"/>
        <s v="2020"/>
        <s v="2021"/>
      </sharedItems>
    </cacheField>
  </cacheFields>
  <cacheHierarchies count="26">
    <cacheHierarchy uniqueName="[Salary__2].[Emp ID]" caption="Emp ID" attribute="1" defaultMemberUniqueName="[Salary__2].[Emp ID].[All]" allUniqueName="[Salary__2].[Emp ID].[All]" dimensionUniqueName="[Salary__2]" displayFolder="" count="0" memberValueDatatype="130" unbalanced="0"/>
    <cacheHierarchy uniqueName="[Salary__2].[Name]" caption="Name" attribute="1" defaultMemberUniqueName="[Salary__2].[Name].[All]" allUniqueName="[Salary__2].[Name].[All]" dimensionUniqueName="[Salary__2]" displayFolder="" count="0" memberValueDatatype="130" unbalanced="0"/>
    <cacheHierarchy uniqueName="[Salary__2].[Gender]" caption="Gender" attribute="1" defaultMemberUniqueName="[Salary__2].[Gender].[All]" allUniqueName="[Salary__2].[Gender].[All]" dimensionUniqueName="[Salary__2]" displayFolder="" count="0" memberValueDatatype="130" unbalanced="0"/>
    <cacheHierarchy uniqueName="[Salary__2].[Department]" caption="Department" attribute="1" defaultMemberUniqueName="[Salary__2].[Department].[All]" allUniqueName="[Salary__2].[Department].[All]" dimensionUniqueName="[Salary__2]" displayFolder="" count="0" memberValueDatatype="130" unbalanced="0"/>
    <cacheHierarchy uniqueName="[Salary__2].[Salary]" caption="Salary" attribute="1" defaultMemberUniqueName="[Salary__2].[Salary].[All]" allUniqueName="[Salary__2].[Salary].[All]" dimensionUniqueName="[Salary__2]" displayFolder="" count="0" memberValueDatatype="5" unbalanced="0"/>
    <cacheHierarchy uniqueName="[Salary__2].[Start Date]" caption="Start Date" attribute="1" time="1" defaultMemberUniqueName="[Salary__2].[Start Date].[All]" allUniqueName="[Salary__2].[Start Date].[All]" dimensionUniqueName="[Salary__2]" displayFolder="" count="2" memberValueDatatype="7" unbalanced="0">
      <fieldsUsage count="2">
        <fieldUsage x="-1"/>
        <fieldUsage x="1"/>
      </fieldsUsage>
    </cacheHierarchy>
    <cacheHierarchy uniqueName="[Salary__2].[FTE]" caption="FTE" attribute="1" defaultMemberUniqueName="[Salary__2].[FTE].[All]" allUniqueName="[Salary__2].[FTE].[All]" dimensionUniqueName="[Salary__2]" displayFolder="" count="0" memberValueDatatype="5" unbalanced="0"/>
    <cacheHierarchy uniqueName="[Salary__2].[Employee type]" caption="Employee type" attribute="1" defaultMemberUniqueName="[Salary__2].[Employee type].[All]" allUniqueName="[Salary__2].[Employee type].[All]" dimensionUniqueName="[Salary__2]" displayFolder="" count="0" memberValueDatatype="130" unbalanced="0"/>
    <cacheHierarchy uniqueName="[Salary__2].[Work location]" caption="Work location" attribute="1" defaultMemberUniqueName="[Salary__2].[Work location].[All]" allUniqueName="[Salary__2].[Work location].[All]" dimensionUniqueName="[Salary__2]" displayFolder="" count="0" memberValueDatatype="130" unbalanced="0"/>
    <cacheHierarchy uniqueName="[Salary__2].[differ from average]" caption="differ from average" attribute="1" defaultMemberUniqueName="[Salary__2].[differ from average].[All]" allUniqueName="[Salary__2].[differ from average].[All]" dimensionUniqueName="[Salary__2]" displayFolder="" count="0" memberValueDatatype="5" unbalanced="0"/>
    <cacheHierarchy uniqueName="[Salary__2].[time]" caption="time" attribute="1" time="1" defaultMemberUniqueName="[Salary__2].[time].[All]" allUniqueName="[Salary__2].[time].[All]" dimensionUniqueName="[Salary__2]" displayFolder="" count="0" memberValueDatatype="7" unbalanced="0"/>
    <cacheHierarchy uniqueName="[Salary__2].[Start Date (Year)]" caption="Start Date (Year)" attribute="1" defaultMemberUniqueName="[Salary__2].[Start Date (Year)].[All]" allUniqueName="[Salary__2].[Start Date (Year)].[All]" dimensionUniqueName="[Salary__2]" displayFolder="" count="2" memberValueDatatype="130" unbalanced="0">
      <fieldsUsage count="2">
        <fieldUsage x="-1"/>
        <fieldUsage x="4"/>
      </fieldsUsage>
    </cacheHierarchy>
    <cacheHierarchy uniqueName="[Salary__2].[Start Date (Quarter)]" caption="Start Date (Quarter)" attribute="1" defaultMemberUniqueName="[Salary__2].[Start Date (Quarter)].[All]" allUniqueName="[Salary__2].[Start Date (Quarter)].[All]" dimensionUniqueName="[Salary__2]" displayFolder="" count="2" memberValueDatatype="130" unbalanced="0">
      <fieldsUsage count="2">
        <fieldUsage x="-1"/>
        <fieldUsage x="3"/>
      </fieldsUsage>
    </cacheHierarchy>
    <cacheHierarchy uniqueName="[Salary__2].[Start Date (Month)]" caption="Start Date (Month)" attribute="1" defaultMemberUniqueName="[Salary__2].[Start Date (Month)].[All]" allUniqueName="[Salary__2].[Start Date (Month)].[All]" dimensionUniqueName="[Salary__2]" displayFolder="" count="2" memberValueDatatype="130" unbalanced="0">
      <fieldsUsage count="2">
        <fieldUsage x="-1"/>
        <fieldUsage x="2"/>
      </fieldsUsage>
    </cacheHierarchy>
    <cacheHierarchy uniqueName="[Salary__2].[Start Date (Month Index)]" caption="Start Date (Month Index)" attribute="1" defaultMemberUniqueName="[Salary__2].[Start Date (Month Index)].[All]" allUniqueName="[Salary__2].[Start Date (Month Index)].[All]" dimensionUniqueName="[Salary__2]" displayFolder="" count="0" memberValueDatatype="20" unbalanced="0" hidden="1"/>
    <cacheHierarchy uniqueName="[Measures].[__XL_Count Salary__2]" caption="__XL_Count Salary__2" measure="1" displayFolder="" measureGroup="Salary__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Salary__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rt Date (Year)]" caption="Count of Start Date (Year)" measure="1" displayFolder="" measureGroup="Salary__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tart Date (Quarter)]" caption="Count of Start Date (Quarter)" measure="1" displayFolder="" measureGroup="Salary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tart Date (Month)]" caption="Count of Start Date (Month)" measure="1" displayFolder="" measureGroup="Salary_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Employee type]" caption="Count of Employee type" measure="1" displayFolder="" measureGroup="Salary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Salary_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Salary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ffer from average]" caption="Sum of differ from average" measure="1" displayFolder="" measureGroup="Salary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TE]" caption="Sum of FTE" measure="1" displayFolder="" measureGroup="Salary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Salary__2" uniqueName="[Salary__2]" caption="Salary__2"/>
  </dimensions>
  <measureGroups count="1">
    <measureGroup name="Salary__2" caption="Salary__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25680282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77.666600462966" backgroundQuery="1" createdVersion="8" refreshedVersion="8" minRefreshableVersion="3" recordCount="0" supportSubquery="1" supportAdvancedDrill="1" xr:uid="{A0F8FAD0-A1B7-4C1F-9638-243260FE070A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Salary__2].[Gender].[Gender]" caption="Gender" numFmtId="0" hierarchy="2" level="1">
      <sharedItems count="2">
        <s v="Female"/>
        <s v="Male"/>
      </sharedItems>
    </cacheField>
    <cacheField name="[Measures].[Sum of Salary]" caption="Sum of Salary" numFmtId="0" hierarchy="17" level="32767"/>
  </cacheFields>
  <cacheHierarchies count="26">
    <cacheHierarchy uniqueName="[Salary__2].[Emp ID]" caption="Emp ID" attribute="1" defaultMemberUniqueName="[Salary__2].[Emp ID].[All]" allUniqueName="[Salary__2].[Emp ID].[All]" dimensionUniqueName="[Salary__2]" displayFolder="" count="0" memberValueDatatype="130" unbalanced="0"/>
    <cacheHierarchy uniqueName="[Salary__2].[Name]" caption="Name" attribute="1" defaultMemberUniqueName="[Salary__2].[Name].[All]" allUniqueName="[Salary__2].[Name].[All]" dimensionUniqueName="[Salary__2]" displayFolder="" count="0" memberValueDatatype="130" unbalanced="0"/>
    <cacheHierarchy uniqueName="[Salary__2].[Gender]" caption="Gender" attribute="1" defaultMemberUniqueName="[Salary__2].[Gender].[All]" allUniqueName="[Salary__2].[Gender].[All]" dimensionUniqueName="[Salary__2]" displayFolder="" count="2" memberValueDatatype="130" unbalanced="0">
      <fieldsUsage count="2">
        <fieldUsage x="-1"/>
        <fieldUsage x="0"/>
      </fieldsUsage>
    </cacheHierarchy>
    <cacheHierarchy uniqueName="[Salary__2].[Department]" caption="Department" attribute="1" defaultMemberUniqueName="[Salary__2].[Department].[All]" allUniqueName="[Salary__2].[Department].[All]" dimensionUniqueName="[Salary__2]" displayFolder="" count="0" memberValueDatatype="130" unbalanced="0"/>
    <cacheHierarchy uniqueName="[Salary__2].[Salary]" caption="Salary" attribute="1" defaultMemberUniqueName="[Salary__2].[Salary].[All]" allUniqueName="[Salary__2].[Salary].[All]" dimensionUniqueName="[Salary__2]" displayFolder="" count="0" memberValueDatatype="5" unbalanced="0"/>
    <cacheHierarchy uniqueName="[Salary__2].[Start Date]" caption="Start Date" attribute="1" time="1" defaultMemberUniqueName="[Salary__2].[Start Date].[All]" allUniqueName="[Salary__2].[Start Date].[All]" dimensionUniqueName="[Salary__2]" displayFolder="" count="0" memberValueDatatype="7" unbalanced="0"/>
    <cacheHierarchy uniqueName="[Salary__2].[FTE]" caption="FTE" attribute="1" defaultMemberUniqueName="[Salary__2].[FTE].[All]" allUniqueName="[Salary__2].[FTE].[All]" dimensionUniqueName="[Salary__2]" displayFolder="" count="0" memberValueDatatype="5" unbalanced="0"/>
    <cacheHierarchy uniqueName="[Salary__2].[Employee type]" caption="Employee type" attribute="1" defaultMemberUniqueName="[Salary__2].[Employee type].[All]" allUniqueName="[Salary__2].[Employee type].[All]" dimensionUniqueName="[Salary__2]" displayFolder="" count="0" memberValueDatatype="130" unbalanced="0"/>
    <cacheHierarchy uniqueName="[Salary__2].[Work location]" caption="Work location" attribute="1" defaultMemberUniqueName="[Salary__2].[Work location].[All]" allUniqueName="[Salary__2].[Work location].[All]" dimensionUniqueName="[Salary__2]" displayFolder="" count="0" memberValueDatatype="130" unbalanced="0"/>
    <cacheHierarchy uniqueName="[Salary__2].[differ from average]" caption="differ from average" attribute="1" defaultMemberUniqueName="[Salary__2].[differ from average].[All]" allUniqueName="[Salary__2].[differ from average].[All]" dimensionUniqueName="[Salary__2]" displayFolder="" count="0" memberValueDatatype="5" unbalanced="0"/>
    <cacheHierarchy uniqueName="[Salary__2].[time]" caption="time" attribute="1" time="1" defaultMemberUniqueName="[Salary__2].[time].[All]" allUniqueName="[Salary__2].[time].[All]" dimensionUniqueName="[Salary__2]" displayFolder="" count="0" memberValueDatatype="7" unbalanced="0"/>
    <cacheHierarchy uniqueName="[Salary__2].[Start Date (Year)]" caption="Start Date (Year)" attribute="1" defaultMemberUniqueName="[Salary__2].[Start Date (Year)].[All]" allUniqueName="[Salary__2].[Start Date (Year)].[All]" dimensionUniqueName="[Salary__2]" displayFolder="" count="0" memberValueDatatype="130" unbalanced="0"/>
    <cacheHierarchy uniqueName="[Salary__2].[Start Date (Quarter)]" caption="Start Date (Quarter)" attribute="1" defaultMemberUniqueName="[Salary__2].[Start Date (Quarter)].[All]" allUniqueName="[Salary__2].[Start Date (Quarter)].[All]" dimensionUniqueName="[Salary__2]" displayFolder="" count="0" memberValueDatatype="130" unbalanced="0"/>
    <cacheHierarchy uniqueName="[Salary__2].[Start Date (Month)]" caption="Start Date (Month)" attribute="1" defaultMemberUniqueName="[Salary__2].[Start Date (Month)].[All]" allUniqueName="[Salary__2].[Start Date (Month)].[All]" dimensionUniqueName="[Salary__2]" displayFolder="" count="0" memberValueDatatype="130" unbalanced="0"/>
    <cacheHierarchy uniqueName="[Salary__2].[Start Date (Month Index)]" caption="Start Date (Month Index)" attribute="1" defaultMemberUniqueName="[Salary__2].[Start Date (Month Index)].[All]" allUniqueName="[Salary__2].[Start Date (Month Index)].[All]" dimensionUniqueName="[Salary__2]" displayFolder="" count="0" memberValueDatatype="20" unbalanced="0" hidden="1"/>
    <cacheHierarchy uniqueName="[Measures].[__XL_Count Salary__2]" caption="__XL_Count Salary__2" measure="1" displayFolder="" measureGroup="Salary__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Salary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rt Date (Year)]" caption="Count of Start Date (Year)" measure="1" displayFolder="" measureGroup="Salary__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tart Date (Quarter)]" caption="Count of Start Date (Quarter)" measure="1" displayFolder="" measureGroup="Salary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tart Date (Month)]" caption="Count of Start Date (Month)" measure="1" displayFolder="" measureGroup="Salary_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Employee type]" caption="Count of Employee type" measure="1" displayFolder="" measureGroup="Salary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Salary_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Salary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ffer from average]" caption="Sum of differ from average" measure="1" displayFolder="" measureGroup="Salary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TE]" caption="Sum of FTE" measure="1" displayFolder="" measureGroup="Salary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Salary__2" uniqueName="[Salary__2]" caption="Salary__2"/>
  </dimensions>
  <measureGroups count="1">
    <measureGroup name="Salary__2" caption="Salary__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58114500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77.673890740742" backgroundQuery="1" createdVersion="8" refreshedVersion="8" minRefreshableVersion="3" recordCount="0" supportSubquery="1" supportAdvancedDrill="1" xr:uid="{A9AFF297-4580-47DD-9F70-FCF51AD78912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Salary__2].[Gender].[Gender]" caption="Gender" numFmtId="0" hierarchy="2" level="1">
      <sharedItems count="2">
        <s v="Female"/>
        <s v="Male"/>
      </sharedItems>
    </cacheField>
    <cacheField name="[Measures].[Sum of FTE]" caption="Sum of FTE" numFmtId="0" hierarchy="25" level="32767"/>
  </cacheFields>
  <cacheHierarchies count="26">
    <cacheHierarchy uniqueName="[Salary__2].[Emp ID]" caption="Emp ID" attribute="1" defaultMemberUniqueName="[Salary__2].[Emp ID].[All]" allUniqueName="[Salary__2].[Emp ID].[All]" dimensionUniqueName="[Salary__2]" displayFolder="" count="0" memberValueDatatype="130" unbalanced="0"/>
    <cacheHierarchy uniqueName="[Salary__2].[Name]" caption="Name" attribute="1" defaultMemberUniqueName="[Salary__2].[Name].[All]" allUniqueName="[Salary__2].[Name].[All]" dimensionUniqueName="[Salary__2]" displayFolder="" count="0" memberValueDatatype="130" unbalanced="0"/>
    <cacheHierarchy uniqueName="[Salary__2].[Gender]" caption="Gender" attribute="1" defaultMemberUniqueName="[Salary__2].[Gender].[All]" allUniqueName="[Salary__2].[Gender].[All]" dimensionUniqueName="[Salary__2]" displayFolder="" count="2" memberValueDatatype="130" unbalanced="0">
      <fieldsUsage count="2">
        <fieldUsage x="-1"/>
        <fieldUsage x="0"/>
      </fieldsUsage>
    </cacheHierarchy>
    <cacheHierarchy uniqueName="[Salary__2].[Department]" caption="Department" attribute="1" defaultMemberUniqueName="[Salary__2].[Department].[All]" allUniqueName="[Salary__2].[Department].[All]" dimensionUniqueName="[Salary__2]" displayFolder="" count="0" memberValueDatatype="130" unbalanced="0"/>
    <cacheHierarchy uniqueName="[Salary__2].[Salary]" caption="Salary" attribute="1" defaultMemberUniqueName="[Salary__2].[Salary].[All]" allUniqueName="[Salary__2].[Salary].[All]" dimensionUniqueName="[Salary__2]" displayFolder="" count="0" memberValueDatatype="5" unbalanced="0"/>
    <cacheHierarchy uniqueName="[Salary__2].[Start Date]" caption="Start Date" attribute="1" time="1" defaultMemberUniqueName="[Salary__2].[Start Date].[All]" allUniqueName="[Salary__2].[Start Date].[All]" dimensionUniqueName="[Salary__2]" displayFolder="" count="0" memberValueDatatype="7" unbalanced="0"/>
    <cacheHierarchy uniqueName="[Salary__2].[FTE]" caption="FTE" attribute="1" defaultMemberUniqueName="[Salary__2].[FTE].[All]" allUniqueName="[Salary__2].[FTE].[All]" dimensionUniqueName="[Salary__2]" displayFolder="" count="0" memberValueDatatype="5" unbalanced="0"/>
    <cacheHierarchy uniqueName="[Salary__2].[Employee type]" caption="Employee type" attribute="1" defaultMemberUniqueName="[Salary__2].[Employee type].[All]" allUniqueName="[Salary__2].[Employee type].[All]" dimensionUniqueName="[Salary__2]" displayFolder="" count="0" memberValueDatatype="130" unbalanced="0"/>
    <cacheHierarchy uniqueName="[Salary__2].[Work location]" caption="Work location" attribute="1" defaultMemberUniqueName="[Salary__2].[Work location].[All]" allUniqueName="[Salary__2].[Work location].[All]" dimensionUniqueName="[Salary__2]" displayFolder="" count="0" memberValueDatatype="130" unbalanced="0"/>
    <cacheHierarchy uniqueName="[Salary__2].[differ from average]" caption="differ from average" attribute="1" defaultMemberUniqueName="[Salary__2].[differ from average].[All]" allUniqueName="[Salary__2].[differ from average].[All]" dimensionUniqueName="[Salary__2]" displayFolder="" count="0" memberValueDatatype="5" unbalanced="0"/>
    <cacheHierarchy uniqueName="[Salary__2].[time]" caption="time" attribute="1" time="1" defaultMemberUniqueName="[Salary__2].[time].[All]" allUniqueName="[Salary__2].[time].[All]" dimensionUniqueName="[Salary__2]" displayFolder="" count="0" memberValueDatatype="7" unbalanced="0"/>
    <cacheHierarchy uniqueName="[Salary__2].[Start Date (Year)]" caption="Start Date (Year)" attribute="1" defaultMemberUniqueName="[Salary__2].[Start Date (Year)].[All]" allUniqueName="[Salary__2].[Start Date (Year)].[All]" dimensionUniqueName="[Salary__2]" displayFolder="" count="0" memberValueDatatype="130" unbalanced="0"/>
    <cacheHierarchy uniqueName="[Salary__2].[Start Date (Quarter)]" caption="Start Date (Quarter)" attribute="1" defaultMemberUniqueName="[Salary__2].[Start Date (Quarter)].[All]" allUniqueName="[Salary__2].[Start Date (Quarter)].[All]" dimensionUniqueName="[Salary__2]" displayFolder="" count="0" memberValueDatatype="130" unbalanced="0"/>
    <cacheHierarchy uniqueName="[Salary__2].[Start Date (Month)]" caption="Start Date (Month)" attribute="1" defaultMemberUniqueName="[Salary__2].[Start Date (Month)].[All]" allUniqueName="[Salary__2].[Start Date (Month)].[All]" dimensionUniqueName="[Salary__2]" displayFolder="" count="0" memberValueDatatype="130" unbalanced="0"/>
    <cacheHierarchy uniqueName="[Salary__2].[Start Date (Month Index)]" caption="Start Date (Month Index)" attribute="1" defaultMemberUniqueName="[Salary__2].[Start Date (Month Index)].[All]" allUniqueName="[Salary__2].[Start Date (Month Index)].[All]" dimensionUniqueName="[Salary__2]" displayFolder="" count="0" memberValueDatatype="20" unbalanced="0" hidden="1"/>
    <cacheHierarchy uniqueName="[Measures].[__XL_Count Salary__2]" caption="__XL_Count Salary__2" measure="1" displayFolder="" measureGroup="Salary__2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Salary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tart Date (Year)]" caption="Count of Start Date (Year)" measure="1" displayFolder="" measureGroup="Salary__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tart Date (Quarter)]" caption="Count of Start Date (Quarter)" measure="1" displayFolder="" measureGroup="Salary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tart Date (Month)]" caption="Count of Start Date (Month)" measure="1" displayFolder="" measureGroup="Salary_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Employee type]" caption="Count of Employee type" measure="1" displayFolder="" measureGroup="Salary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Salary__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Salary__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iffer from average]" caption="Sum of differ from average" measure="1" displayFolder="" measureGroup="Salary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TE]" caption="Sum of FTE" measure="1" displayFolder="" measureGroup="Salary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Salary__2" uniqueName="[Salary__2]" caption="Salary__2"/>
  </dimensions>
  <measureGroups count="1">
    <measureGroup name="Salary__2" caption="Salary__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36671811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s v="PR00007"/>
    <s v="Torrance  Collier"/>
    <s v="Female"/>
    <s v="Training"/>
    <n v="96135.75"/>
    <d v="2020-07-13T00:00:00"/>
    <n v="0.3"/>
    <s v="Permanent"/>
    <x v="0"/>
    <n v="23091.466126126164"/>
    <d v="1899-12-30T02:23:00"/>
  </r>
  <r>
    <s v="PR00095"/>
    <s v="Devrat Damarsingh"/>
    <s v="Female"/>
    <s v="Business Development"/>
    <n v="70649.460000000006"/>
    <d v="2020-01-13T00:00:00"/>
    <n v="1"/>
    <s v="Permanent"/>
    <x v="1"/>
    <n v="-2394.8238738738291"/>
    <d v="1899-12-30T01:59:00"/>
  </r>
  <r>
    <s v="PR00113"/>
    <s v="Van Tuxwell"/>
    <s v="Female"/>
    <s v="Business Development"/>
    <n v="80695.740000000005"/>
    <d v="2018-09-17T00:00:00"/>
    <n v="1"/>
    <s v="Permanent"/>
    <x v="2"/>
    <n v="7651.4561261261697"/>
    <d v="1899-12-30T12:45:00"/>
  </r>
  <r>
    <s v="PR00147"/>
    <s v="Minerva Ricardot"/>
    <s v="Male"/>
    <s v="other"/>
    <n v="120000"/>
    <d v="2018-11-12T00:00:00"/>
    <n v="1"/>
    <s v="Permanent"/>
    <x v="3"/>
    <n v="46955.716126126164"/>
    <d v="1899-12-30T08:48:00"/>
  </r>
  <r>
    <s v="PR00246"/>
    <s v="Husein Augar"/>
    <s v="Female"/>
    <s v="Marketing"/>
    <n v="67905.8"/>
    <d v="2020-12-29T00:00:00"/>
    <n v="1"/>
    <s v="Permanent"/>
    <x v="3"/>
    <n v="-5138.4838738738326"/>
    <d v="1899-12-30T02:23:00"/>
  </r>
  <r>
    <s v="PR00419"/>
    <s v="Billi Fellgate"/>
    <s v="Female"/>
    <s v="Business Development"/>
    <n v="68980.52"/>
    <d v="2019-01-29T00:00:00"/>
    <n v="0.8"/>
    <s v="Permanent"/>
    <x v="3"/>
    <n v="-4063.7638738738315"/>
    <d v="1899-12-30T01:59:00"/>
  </r>
  <r>
    <s v="PR00576"/>
    <s v="Lalitchandra Vadali"/>
    <s v="Female"/>
    <s v="Legal"/>
    <n v="63705.4"/>
    <d v="2019-08-05T00:00:00"/>
    <n v="1"/>
    <s v="Permanent"/>
    <x v="1"/>
    <n v="-9338.8838738738341"/>
    <d v="1899-12-30T12:45:00"/>
  </r>
  <r>
    <s v="PR00746"/>
    <s v="Hogan Iles"/>
    <s v="Female"/>
    <s v="Accounting"/>
    <n v="114177.23"/>
    <d v="2020-03-18T00:00:00"/>
    <n v="1"/>
    <s v="Permanent"/>
    <x v="0"/>
    <n v="41132.94612612616"/>
    <d v="1899-12-30T08:48:00"/>
  </r>
  <r>
    <s v="PR00770"/>
    <s v="Beryl Burnsyde"/>
    <s v="Male"/>
    <s v="Legal"/>
    <n v="29774.76"/>
    <d v="2020-10-01T00:00:00"/>
    <n v="1"/>
    <s v="Permanent"/>
    <x v="0"/>
    <n v="-43269.523873873841"/>
    <d v="1899-12-30T02:23:00"/>
  </r>
  <r>
    <s v="PR00882"/>
    <s v=" Jill Shipsey"/>
    <s v="Male"/>
    <s v="Accounting"/>
    <n v="52963.65"/>
    <d v="2021-04-02T00:00:00"/>
    <n v="0.3"/>
    <s v="Permanent"/>
    <x v="2"/>
    <n v="-20080.633873873834"/>
    <d v="1899-12-30T01:59:00"/>
  </r>
  <r>
    <s v="PR00893"/>
    <s v="Vasavi Veeravasarapu"/>
    <s v="Male"/>
    <s v="Human Resources"/>
    <n v="50310.09"/>
    <d v="2021-03-30T00:00:00"/>
    <n v="0.4"/>
    <s v="Permanent"/>
    <x v="1"/>
    <n v="-22734.193873873839"/>
    <d v="1899-12-30T12:45:00"/>
  </r>
  <r>
    <s v="PR00916"/>
    <s v="Inger Chapelhow"/>
    <s v="Female"/>
    <s v="Research and Development"/>
    <n v="84309.95"/>
    <d v="2021-11-01T00:00:00"/>
    <n v="1"/>
    <s v="Permanent"/>
    <x v="3"/>
    <n v="11265.666126126162"/>
    <d v="1899-12-30T08:48:00"/>
  </r>
  <r>
    <s v="PR01055"/>
    <s v="Devasree Fullara Saurin"/>
    <s v="Male"/>
    <s v="Accounting"/>
    <n v="35936.31"/>
    <d v="2018-05-21T00:00:00"/>
    <n v="1"/>
    <s v="Permanent"/>
    <x v="4"/>
    <n v="-37107.973873873838"/>
    <d v="1899-12-30T02:23:00"/>
  </r>
  <r>
    <s v="PR01159"/>
    <s v="Mollie  Hanway"/>
    <s v="Male"/>
    <s v="other"/>
    <n v="112645.99"/>
    <d v="2019-10-21T00:00:00"/>
    <n v="0.6"/>
    <s v="Permanent"/>
    <x v="5"/>
    <n v="39601.70612612617"/>
    <d v="1899-12-30T01:59:00"/>
  </r>
  <r>
    <s v="PR01211"/>
    <s v="Enoch Dowrey"/>
    <s v="Male"/>
    <s v="Accounting"/>
    <n v="91645.04"/>
    <d v="2021-01-27T00:00:00"/>
    <n v="1"/>
    <s v="Permanent"/>
    <x v="6"/>
    <n v="18600.756126126158"/>
    <d v="1899-12-30T12:45:00"/>
  </r>
  <r>
    <s v="PR01269"/>
    <s v="Eleonore Airdrie"/>
    <s v="Female"/>
    <s v="Engineering"/>
    <n v="97105.19"/>
    <d v="2021-08-17T00:00:00"/>
    <n v="1"/>
    <s v="Permanent"/>
    <x v="2"/>
    <n v="24060.906126126167"/>
    <d v="1899-12-30T08:48:00"/>
  </r>
  <r>
    <s v="PR01306"/>
    <s v="Patti Dradey"/>
    <s v="Male"/>
    <s v="Services"/>
    <n v="84742.86"/>
    <d v="2020-09-24T00:00:00"/>
    <n v="1"/>
    <s v="Permanent"/>
    <x v="6"/>
    <n v="11698.576126126165"/>
    <d v="1899-12-30T02:23:00"/>
  </r>
  <r>
    <s v="PR01346"/>
    <s v="Adolph McNalley"/>
    <s v="Male"/>
    <s v="Business Development"/>
    <n v="85918.61"/>
    <d v="2018-02-05T00:00:00"/>
    <n v="1"/>
    <s v="Permanent"/>
    <x v="2"/>
    <n v="12874.326126126165"/>
    <d v="1899-12-30T01:59:00"/>
  </r>
  <r>
    <s v="PR01383"/>
    <s v="Addi Studdeard"/>
    <s v="Female"/>
    <s v="Product Management"/>
    <n v="72502.61"/>
    <d v="2021-02-08T00:00:00"/>
    <n v="1"/>
    <s v="Permanent"/>
    <x v="0"/>
    <n v="-541.67387387383496"/>
    <d v="1899-12-30T12:45:00"/>
  </r>
  <r>
    <s v="PR01476"/>
    <s v="Jaishree Atasi Yavatkar"/>
    <s v="Male"/>
    <s v="Services"/>
    <n v="77096.05"/>
    <d v="2018-04-27T00:00:00"/>
    <n v="1"/>
    <s v="Permanent"/>
    <x v="4"/>
    <n v="4051.7661261261674"/>
    <d v="1899-12-30T08:48:00"/>
  </r>
  <r>
    <s v="PR01662"/>
    <s v="Genevra Friday"/>
    <s v="Female"/>
    <s v="Research and Development"/>
    <n v="50449.46"/>
    <d v="2018-11-14T00:00:00"/>
    <n v="0.8"/>
    <s v="Permanent"/>
    <x v="6"/>
    <n v="-22594.823873873836"/>
    <d v="1899-12-30T08:48:00"/>
  </r>
  <r>
    <s v="PR01943"/>
    <s v="Rameshwari Chikodi"/>
    <s v="Male"/>
    <s v="Human Resources"/>
    <n v="48525.71"/>
    <d v="2018-06-13T00:00:00"/>
    <n v="1"/>
    <s v="Permanent"/>
    <x v="1"/>
    <n v="-24518.573873873836"/>
    <d v="1899-12-30T02:23:00"/>
  </r>
  <r>
    <s v="PR01956"/>
    <s v=" Jamesy O'Ferris"/>
    <s v="Male"/>
    <s v="Accounting"/>
    <n v="36547.58"/>
    <d v="2018-11-12T00:00:00"/>
    <n v="1"/>
    <s v="Permanent"/>
    <x v="3"/>
    <n v="-36496.703873873834"/>
    <d v="1899-12-30T01:59:00"/>
  </r>
  <r>
    <s v="PR02010"/>
    <s v="Prerana Nishita"/>
    <s v="Male"/>
    <s v="Product Management"/>
    <n v="115191.38"/>
    <d v="2020-06-22T00:00:00"/>
    <n v="1"/>
    <s v="Permanent"/>
    <x v="1"/>
    <n v="42147.096126126169"/>
    <d v="1899-12-30T12:45:00"/>
  </r>
  <r>
    <s v="PR02016"/>
    <s v="Iris  Wagg"/>
    <s v="Female"/>
    <s v="other"/>
    <n v="58861.19"/>
    <d v="2019-07-08T00:00:00"/>
    <n v="1"/>
    <s v="Permanent"/>
    <x v="2"/>
    <n v="-14183.093873873833"/>
    <d v="1899-12-30T08:48:00"/>
  </r>
  <r>
    <s v="PR02113"/>
    <s v="Beverie Moffet"/>
    <s v="Female"/>
    <s v="Support"/>
    <n v="75974.990000000005"/>
    <d v="2020-12-07T00:00:00"/>
    <n v="1"/>
    <s v="Permanent"/>
    <x v="3"/>
    <n v="2930.7061261261697"/>
    <d v="1899-12-30T01:59:00"/>
  </r>
  <r>
    <s v="PR02140"/>
    <s v="Anjushri Chandiramani"/>
    <s v="Male"/>
    <s v="Accounting"/>
    <n v="95954.02"/>
    <d v="2019-04-12T00:00:00"/>
    <n v="0.3"/>
    <s v="Permanent"/>
    <x v="1"/>
    <n v="22909.736126126169"/>
    <d v="1899-12-30T12:45:00"/>
  </r>
  <r>
    <s v="PR02208"/>
    <s v="Gowri Sankar Chakrala"/>
    <s v="Female"/>
    <s v="Training"/>
    <n v="102934.09"/>
    <d v="2021-04-29T00:00:00"/>
    <n v="1"/>
    <s v="Permanent"/>
    <x v="1"/>
    <n v="29889.806126126161"/>
    <d v="1899-12-30T08:48:00"/>
  </r>
  <r>
    <s v="PR02275"/>
    <s v="Louise Lamming"/>
    <s v="Female"/>
    <s v="Sales"/>
    <n v="41934.71"/>
    <d v="2019-11-11T00:00:00"/>
    <n v="1"/>
    <s v="Permanent"/>
    <x v="3"/>
    <n v="-31109.573873873836"/>
    <d v="1899-12-30T02:23:00"/>
  </r>
  <r>
    <s v="PR02288"/>
    <s v="Althea  Bronger"/>
    <s v="Male"/>
    <s v="Product Management"/>
    <n v="104335.03999999999"/>
    <d v="2020-02-13T00:00:00"/>
    <n v="1"/>
    <s v="Permanent"/>
    <x v="2"/>
    <n v="31290.756126126158"/>
    <d v="1899-12-30T01:59:00"/>
  </r>
  <r>
    <s v="PR02321"/>
    <s v="Evanne  Sheryn"/>
    <s v="Female"/>
    <s v="Services"/>
    <n v="81897.789999999994"/>
    <d v="2018-02-15T00:00:00"/>
    <n v="1"/>
    <s v="Permanent"/>
    <x v="6"/>
    <n v="8853.5061261261581"/>
    <d v="1899-12-30T12:45:00"/>
  </r>
  <r>
    <s v="PR02436"/>
    <s v="Marmaduke Worssam"/>
    <s v="Female"/>
    <s v="Engineering"/>
    <n v="78378.2"/>
    <d v="2018-12-31T00:00:00"/>
    <n v="0.4"/>
    <s v="Permanent"/>
    <x v="3"/>
    <n v="5333.9161261261615"/>
    <d v="1899-12-30T08:48:00"/>
  </r>
  <r>
    <s v="PR02603"/>
    <s v="Dinanath Simhambhatla"/>
    <s v="Female"/>
    <s v="Human Resources"/>
    <n v="61994.76"/>
    <d v="2019-11-25T00:00:00"/>
    <n v="0.3"/>
    <s v="Permanent"/>
    <x v="1"/>
    <n v="-11049.523873873834"/>
    <d v="1899-12-30T08:48:00"/>
  </r>
  <r>
    <s v="PR02782"/>
    <s v="Isaak Rawne"/>
    <s v="Male"/>
    <s v="Marketing"/>
    <n v="37362.300000000003"/>
    <d v="2019-06-26T00:00:00"/>
    <n v="1"/>
    <s v="Permanent"/>
    <x v="6"/>
    <n v="-35681.983873873833"/>
    <d v="1899-12-30T08:48:00"/>
  </r>
  <r>
    <s v="PR02957"/>
    <s v="Vaughn Carvill"/>
    <s v="Female"/>
    <s v="Training"/>
    <n v="84745.93"/>
    <d v="2019-08-30T00:00:00"/>
    <n v="1"/>
    <s v="Permanent"/>
    <x v="0"/>
    <n v="11701.646126126157"/>
    <d v="1899-12-30T02:23:00"/>
  </r>
  <r>
    <s v="PR03034"/>
    <s v="Sreenivasa Naik Gudiwada"/>
    <s v="Male"/>
    <s v="Sales"/>
    <n v="32192.15"/>
    <d v="2021-10-04T00:00:00"/>
    <n v="1"/>
    <s v="Permanent"/>
    <x v="1"/>
    <n v="-40852.133873873834"/>
    <d v="1899-12-30T01:59:00"/>
  </r>
  <r>
    <s v="PR03137"/>
    <s v="Jagajeet Viraj"/>
    <s v="Male"/>
    <s v="Support"/>
    <n v="36714.379999999997"/>
    <d v="2020-12-10T00:00:00"/>
    <n v="1"/>
    <s v="Permanent"/>
    <x v="4"/>
    <n v="-36329.903873873838"/>
    <d v="1899-12-30T12:45:00"/>
  </r>
  <r>
    <s v="PR03158"/>
    <s v="Danica Nayshe"/>
    <s v="Female"/>
    <s v="Services"/>
    <n v="89690.38"/>
    <d v="2018-04-16T00:00:00"/>
    <n v="1"/>
    <s v="Permanent"/>
    <x v="0"/>
    <n v="16646.096126126169"/>
    <d v="1899-12-30T08:48:00"/>
  </r>
  <r>
    <s v="PR03271"/>
    <s v="Stan  Tolliday"/>
    <s v="Female"/>
    <s v="Sales"/>
    <n v="39535.49"/>
    <d v="2018-10-24T00:00:00"/>
    <n v="0.3"/>
    <s v="Permanent"/>
    <x v="3"/>
    <n v="-33508.793873873838"/>
    <d v="1899-12-30T02:23:00"/>
  </r>
  <r>
    <s v="PR03445"/>
    <s v="Myrle Prandoni"/>
    <s v="Male"/>
    <s v="Sales"/>
    <n v="62195.47"/>
    <d v="2021-08-26T00:00:00"/>
    <n v="1"/>
    <s v="Permanent"/>
    <x v="3"/>
    <n v="-10848.813873873834"/>
    <d v="1899-12-30T01:59:00"/>
  </r>
  <r>
    <s v="PR03532"/>
    <s v="Crawford Scad"/>
    <s v="Male"/>
    <s v="Human Resources"/>
    <n v="72876.91"/>
    <d v="2020-01-07T00:00:00"/>
    <n v="1"/>
    <s v="Permanent"/>
    <x v="3"/>
    <n v="-167.37387387383205"/>
    <d v="1899-12-30T12:45:00"/>
  </r>
  <r>
    <s v="PR03804"/>
    <s v="Pratigya Rema"/>
    <s v="Male"/>
    <s v="Legal"/>
    <n v="66572.58"/>
    <d v="2020-12-28T00:00:00"/>
    <n v="1"/>
    <s v="Permanent"/>
    <x v="4"/>
    <n v="-6471.7038738738338"/>
    <d v="1899-12-30T08:48:00"/>
  </r>
  <r>
    <s v="PR03844"/>
    <s v="Brose MacCorkell"/>
    <s v="Female"/>
    <s v="Human Resources"/>
    <n v="35943.620000000003"/>
    <d v="2020-09-04T00:00:00"/>
    <n v="1"/>
    <s v="Permanent"/>
    <x v="2"/>
    <n v="-37100.663873873833"/>
    <d v="1899-12-30T01:59:00"/>
  </r>
  <r>
    <s v="PR03886"/>
    <s v="Edd  MacKnockiter"/>
    <s v="Male"/>
    <s v="Accounting"/>
    <n v="119022.49"/>
    <d v="2021-08-23T00:00:00"/>
    <n v="1"/>
    <s v="Permanent"/>
    <x v="6"/>
    <n v="45978.20612612617"/>
    <d v="1899-12-30T12:45:00"/>
  </r>
  <r>
    <s v="PR03980"/>
    <s v=" Kath Bletsoe"/>
    <s v="Male"/>
    <s v="Marketing"/>
    <n v="65699.02"/>
    <d v="2020-04-30T00:00:00"/>
    <n v="1"/>
    <s v="Permanent"/>
    <x v="2"/>
    <n v="-7345.2638738738315"/>
    <d v="1899-12-30T08:48:00"/>
  </r>
  <r>
    <s v="PR04366"/>
    <s v="Carry Loblie"/>
    <s v="Female"/>
    <s v="Sales"/>
    <n v="47551.89"/>
    <d v="2019-01-03T00:00:00"/>
    <n v="1"/>
    <s v="Permanent"/>
    <x v="6"/>
    <n v="-25492.393873873836"/>
    <d v="1899-12-30T02:23:00"/>
  </r>
  <r>
    <s v="PR04380"/>
    <s v="Van Tuxwell"/>
    <s v="Female"/>
    <s v="Business Development"/>
    <n v="80695.740000000005"/>
    <d v="2019-11-18T00:00:00"/>
    <n v="0.8"/>
    <s v="Permanent"/>
    <x v="2"/>
    <n v="7651.4561261261697"/>
    <d v="1899-12-30T01:59:00"/>
  </r>
  <r>
    <s v="PR04446"/>
    <s v="Sameer Shashank Sapra"/>
    <s v="Female"/>
    <s v="Research and Development"/>
    <n v="92336.08"/>
    <d v="2021-08-23T00:00:00"/>
    <n v="1"/>
    <s v="Permanent"/>
    <x v="1"/>
    <n v="19291.796126126166"/>
    <d v="1899-12-30T12:45:00"/>
  </r>
  <r>
    <s v="PR04473"/>
    <s v=" Wyn Treadger"/>
    <s v="Female"/>
    <s v="Business Development"/>
    <n v="69192.850000000006"/>
    <d v="2021-04-19T00:00:00"/>
    <n v="1"/>
    <s v="Permanent"/>
    <x v="2"/>
    <n v="-3851.4338738738297"/>
    <d v="1899-12-30T08:48:00"/>
  </r>
  <r>
    <s v="PR04686"/>
    <s v="Oona Donan"/>
    <s v="Female"/>
    <s v="Business Development"/>
    <n v="98000"/>
    <d v="2019-09-02T00:00:00"/>
    <n v="0.9"/>
    <s v="Permanent"/>
    <x v="5"/>
    <n v="24955.716126126164"/>
    <d v="1899-12-30T08:48:00"/>
  </r>
  <r>
    <s v="PR04851"/>
    <s v="Rodina Drinan"/>
    <s v="Female"/>
    <s v="Sales"/>
    <n v="77045.440000000002"/>
    <d v="2019-06-20T00:00:00"/>
    <n v="1"/>
    <s v="Permanent"/>
    <x v="3"/>
    <n v="4001.1561261261668"/>
    <d v="1899-12-30T08:48:00"/>
  </r>
  <r>
    <s v="SQ00022"/>
    <s v="Carlin Demke"/>
    <s v="Male"/>
    <s v="Business Development"/>
    <n v="110042.37"/>
    <d v="2020-03-24T00:00:00"/>
    <n v="1"/>
    <s v="Permanent"/>
    <x v="2"/>
    <n v="36998.08612612616"/>
    <d v="1899-12-30T12:45:00"/>
  </r>
  <r>
    <s v="SQ00070"/>
    <s v="Larissa Ingledow"/>
    <s v="Male"/>
    <s v="Research and Development"/>
    <n v="62281.24"/>
    <d v="2018-06-21T00:00:00"/>
    <n v="1"/>
    <s v="Permanent"/>
    <x v="3"/>
    <n v="-10763.043873873838"/>
    <d v="1899-12-30T08:48:00"/>
  </r>
  <r>
    <s v="SQ00105"/>
    <s v="Sarayu Ragunathan"/>
    <s v="Female"/>
    <s v="Training"/>
    <n v="86010.54"/>
    <d v="2018-03-05T00:00:00"/>
    <n v="1"/>
    <s v="Permanent"/>
    <x v="4"/>
    <n v="12966.256126126158"/>
    <d v="1899-12-30T02:23:00"/>
  </r>
  <r>
    <s v="SQ00144"/>
    <s v="Collen Dunbleton"/>
    <s v="Male"/>
    <s v="Engineering"/>
    <n v="118976.16"/>
    <d v="2020-10-16T00:00:00"/>
    <n v="1"/>
    <s v="Permanent"/>
    <x v="0"/>
    <n v="45931.876126126168"/>
    <d v="1899-12-30T01:59:00"/>
  </r>
  <r>
    <s v="SQ00187"/>
    <s v="Rupak Mehra"/>
    <s v="Female"/>
    <s v="Services"/>
    <n v="71229.42"/>
    <d v="2020-12-01T00:00:00"/>
    <n v="1"/>
    <s v="Permanent"/>
    <x v="1"/>
    <n v="-1814.8638738738373"/>
    <d v="1899-12-30T12:45:00"/>
  </r>
  <r>
    <s v="SQ00286"/>
    <s v="Ilesh Dasgupta"/>
    <s v="Female"/>
    <s v="Legal"/>
    <n v="61213.01"/>
    <d v="2021-06-18T00:00:00"/>
    <n v="1"/>
    <s v="Permanent"/>
    <x v="4"/>
    <n v="-11831.273873873834"/>
    <d v="1899-12-30T08:48:00"/>
  </r>
  <r>
    <s v="SQ00360"/>
    <s v="Orlando Gorstidge "/>
    <s v="Male"/>
    <s v="Marketing"/>
    <n v="40753.54"/>
    <d v="2018-02-21T00:00:00"/>
    <n v="0.6"/>
    <s v="Permanent"/>
    <x v="0"/>
    <n v="-32290.743873873835"/>
    <d v="1899-12-30T12:45:00"/>
  </r>
  <r>
    <s v="SQ00450"/>
    <s v=" Louise Lamming"/>
    <s v="Female"/>
    <s v="Sales"/>
    <n v="41934.71"/>
    <d v="2020-04-22T00:00:00"/>
    <n v="1"/>
    <s v="Permanent"/>
    <x v="3"/>
    <n v="-31109.573873873836"/>
    <d v="1899-12-30T08:48:00"/>
  </r>
  <r>
    <s v="SQ00498"/>
    <s v="Amery Ofer"/>
    <s v="Female"/>
    <s v="Legal"/>
    <n v="111049.84"/>
    <d v="2021-07-16T00:00:00"/>
    <n v="1"/>
    <s v="Permanent"/>
    <x v="0"/>
    <n v="38005.556126126161"/>
    <d v="1899-12-30T02:23:00"/>
  </r>
  <r>
    <s v="SQ00612"/>
    <s v=" Leena Bruckshaw"/>
    <s v="Male"/>
    <s v="Research and Development"/>
    <n v="74279.009999999995"/>
    <d v="2019-01-01T00:00:00"/>
    <n v="1"/>
    <s v="Permanent"/>
    <x v="0"/>
    <n v="1234.7261261261592"/>
    <d v="1899-12-30T01:59:00"/>
  </r>
  <r>
    <s v="SQ00691"/>
    <s v="Verla Timmis"/>
    <s v="Male"/>
    <s v="Support"/>
    <n v="54137.05"/>
    <d v="2019-10-25T00:00:00"/>
    <n v="1"/>
    <s v="Permanent"/>
    <x v="3"/>
    <n v="-18907.233873873833"/>
    <d v="1899-12-30T12:45:00"/>
  </r>
  <r>
    <s v="SQ00841"/>
    <s v="Bhuvan Pals"/>
    <s v="Female"/>
    <s v="Services"/>
    <n v="89690.38"/>
    <d v="2018-04-23T00:00:00"/>
    <n v="1"/>
    <s v="Permanent"/>
    <x v="1"/>
    <n v="16646.096126126169"/>
    <d v="1899-12-30T08:48:00"/>
  </r>
  <r>
    <s v="SQ00914"/>
    <s v="Duran Appala"/>
    <s v="Female"/>
    <s v="Product Management"/>
    <n v="38438.239999999998"/>
    <d v="2020-05-11T00:00:00"/>
    <n v="1"/>
    <s v="Permanent"/>
    <x v="4"/>
    <n v="-34606.043873873838"/>
    <d v="1899-12-30T12:45:00"/>
  </r>
  <r>
    <s v="SQ00960"/>
    <s v="Calvin O'Carroll"/>
    <s v="Female"/>
    <s v="Research and Development"/>
    <n v="44447.26"/>
    <d v="2020-01-16T00:00:00"/>
    <n v="0.4"/>
    <s v="Permanent"/>
    <x v="5"/>
    <n v="-28597.023873873834"/>
    <d v="1899-12-30T08:48:00"/>
  </r>
  <r>
    <s v="SQ01026"/>
    <s v="Anumati Shyamari Meherhomji"/>
    <s v="Male"/>
    <s v="Product Management"/>
    <n v="74924.649999999994"/>
    <d v="2021-02-12T00:00:00"/>
    <n v="1"/>
    <s v="Permanent"/>
    <x v="1"/>
    <n v="1880.3661261261586"/>
    <d v="1899-12-30T02:23:00"/>
  </r>
  <r>
    <s v="SQ01177"/>
    <s v="Nazeer Basha Mustafa"/>
    <s v="Male"/>
    <s v="Human Resources"/>
    <n v="86556.96"/>
    <d v="2020-09-30T00:00:00"/>
    <n v="1"/>
    <s v="Permanent"/>
    <x v="1"/>
    <n v="13512.676126126171"/>
    <d v="1899-12-30T01:59:00"/>
  </r>
  <r>
    <s v="SQ01283"/>
    <s v="Barr Faughny"/>
    <s v="Female"/>
    <s v="Marketing"/>
    <n v="68008.55"/>
    <d v="2020-08-19T00:00:00"/>
    <n v="1"/>
    <s v="Permanent"/>
    <x v="6"/>
    <n v="-5035.7338738738326"/>
    <d v="1899-12-30T12:45:00"/>
  </r>
  <r>
    <s v="SQ01395"/>
    <s v="Dennison Crosswaite"/>
    <s v="Male"/>
    <s v="Legal"/>
    <n v="90697.67"/>
    <d v="2021-01-25T00:00:00"/>
    <n v="0.8"/>
    <s v="Permanent"/>
    <x v="5"/>
    <n v="17653.386126126163"/>
    <d v="1899-12-30T08:48:00"/>
  </r>
  <r>
    <s v="SQ01402"/>
    <s v="Sahaj Jonnalagadda"/>
    <s v="Female"/>
    <s v="other"/>
    <n v="44403.77"/>
    <d v="2018-11-12T00:00:00"/>
    <n v="1"/>
    <s v="Permanent"/>
    <x v="1"/>
    <n v="-28640.513873873839"/>
    <d v="1899-12-30T08:48:00"/>
  </r>
  <r>
    <s v="SQ01519"/>
    <s v="Caron Kolakovic"/>
    <s v="Male"/>
    <s v="Accounting"/>
    <n v="49915.14"/>
    <d v="2019-03-26T00:00:00"/>
    <n v="1"/>
    <s v="Permanent"/>
    <x v="3"/>
    <n v="-23129.143873873836"/>
    <d v="1899-12-30T02:23:00"/>
  </r>
  <r>
    <s v="SQ01620"/>
    <s v="Westbrook Brandino"/>
    <s v="Male"/>
    <s v="Legal"/>
    <n v="113616.23"/>
    <d v="2018-06-04T00:00:00"/>
    <n v="1"/>
    <s v="Permanent"/>
    <x v="3"/>
    <n v="40571.94612612616"/>
    <d v="1899-12-30T01:59:00"/>
  </r>
  <r>
    <s v="SQ01637"/>
    <s v=" Joaquin McVitty"/>
    <s v="Male"/>
    <s v="Sales"/>
    <n v="68860.399999999994"/>
    <d v="2019-02-12T00:00:00"/>
    <n v="0.4"/>
    <s v="Permanent"/>
    <x v="2"/>
    <n v="-4183.8838738738414"/>
    <d v="1899-12-30T12:45:00"/>
  </r>
  <r>
    <s v="SQ01697"/>
    <s v="Makshi Vinutha"/>
    <s v="Male"/>
    <s v="Business Development"/>
    <n v="71371.37"/>
    <d v="2018-10-19T00:00:00"/>
    <n v="1"/>
    <s v="Permanent"/>
    <x v="1"/>
    <n v="-1672.9138738738402"/>
    <d v="1899-12-30T08:48:00"/>
  </r>
  <r>
    <s v="SQ01730"/>
    <s v="Austine Littlewood"/>
    <s v="Female"/>
    <s v="Services"/>
    <n v="32269.91"/>
    <d v="2018-09-03T00:00:00"/>
    <n v="1"/>
    <s v="Permanent"/>
    <x v="3"/>
    <n v="-40774.373873873832"/>
    <d v="1899-12-30T08:48:00"/>
  </r>
  <r>
    <s v="SQ01829"/>
    <s v="Mabel Orrow"/>
    <s v="Male"/>
    <s v="Product Management"/>
    <n v="31241.24"/>
    <d v="2019-09-17T00:00:00"/>
    <n v="1"/>
    <s v="Permanent"/>
    <x v="3"/>
    <n v="-41803.04387387383"/>
    <d v="1899-12-30T02:23:00"/>
  </r>
  <r>
    <s v="SQ01854"/>
    <s v="Jessica Callcott"/>
    <s v="Female"/>
    <s v="Marketing"/>
    <n v="66017.179999999993"/>
    <d v="2019-06-27T00:00:00"/>
    <n v="0.9"/>
    <s v="Permanent"/>
    <x v="3"/>
    <n v="-7027.1038738738425"/>
    <d v="1899-12-30T01:59:00"/>
  </r>
  <r>
    <s v="SQ01998"/>
    <s v="Vanmala Shriharsha"/>
    <s v="Male"/>
    <s v="Product Management"/>
    <n v="40445.29"/>
    <d v="2021-07-16T00:00:00"/>
    <n v="1"/>
    <s v="Permanent"/>
    <x v="4"/>
    <n v="-32598.993873873835"/>
    <d v="1899-12-30T12:45:00"/>
  </r>
  <r>
    <s v="SQ02035"/>
    <s v="Anni Izzard"/>
    <s v="Male"/>
    <s v="Human Resources"/>
    <n v="103494.94"/>
    <d v="2018-06-05T00:00:00"/>
    <n v="1"/>
    <s v="Permanent"/>
    <x v="3"/>
    <n v="30450.656126126167"/>
    <d v="1899-12-30T13:45:00"/>
  </r>
  <r>
    <s v="SQ02174"/>
    <s v="Sidoney Yitzhok"/>
    <s v="Female"/>
    <s v="other"/>
    <n v="118442.54"/>
    <d v="2020-12-28T00:00:00"/>
    <n v="1"/>
    <s v="Permanent"/>
    <x v="6"/>
    <n v="45398.256126126158"/>
    <d v="1899-12-30T14:45:00"/>
  </r>
  <r>
    <s v="SQ02223"/>
    <s v=" Pippy Shepperd"/>
    <s v="Female"/>
    <s v="Accounting"/>
    <n v="44845.33"/>
    <d v="2018-06-26T00:00:00"/>
    <n v="1"/>
    <s v="Permanent"/>
    <x v="5"/>
    <n v="-28198.953873873834"/>
    <d v="1899-12-30T15:45:00"/>
  </r>
  <r>
    <s v="SQ02246"/>
    <s v="Matias Cormack "/>
    <s v="Male"/>
    <s v="Research and Development"/>
    <n v="85455.53"/>
    <d v="2020-01-09T00:00:00"/>
    <n v="1"/>
    <s v="Permanent"/>
    <x v="0"/>
    <n v="12411.246126126163"/>
    <d v="1899-12-30T16:45:00"/>
  </r>
  <r>
    <s v="SQ02371"/>
    <s v="Alida Welman"/>
    <s v="Male"/>
    <s v="Human Resources"/>
    <n v="69862.38"/>
    <d v="2018-12-24T00:00:00"/>
    <n v="1"/>
    <s v="Permanent"/>
    <x v="0"/>
    <n v="-3181.9038738738309"/>
    <d v="1899-12-30T17:45:00"/>
  </r>
  <r>
    <s v="SQ02424"/>
    <s v="Kevalkumar Solanki"/>
    <s v="Male"/>
    <s v="Accounting"/>
    <n v="52270.22"/>
    <d v="2019-02-25T00:00:00"/>
    <n v="0.3"/>
    <s v="Permanent"/>
    <x v="4"/>
    <n v="-20774.063873873834"/>
    <d v="1899-12-30T18:45:00"/>
  </r>
  <r>
    <s v="SQ02465"/>
    <s v="Bernie Gorges"/>
    <s v="Female"/>
    <s v="Training"/>
    <n v="99965.97"/>
    <d v="2018-02-02T00:00:00"/>
    <n v="1"/>
    <s v="Permanent"/>
    <x v="3"/>
    <n v="26921.686126126166"/>
    <d v="1899-12-30T19:45:00"/>
  </r>
  <r>
    <s v="SQ02525"/>
    <s v="Mickie Dagwell"/>
    <s v="Male"/>
    <s v="Engineering"/>
    <n v="50855.53"/>
    <d v="2021-01-25T00:00:00"/>
    <n v="1"/>
    <s v="Permanent"/>
    <x v="0"/>
    <n v="-22188.753873873837"/>
    <d v="1899-12-30T20:45:00"/>
  </r>
  <r>
    <s v="SQ02559"/>
    <s v="Aldrich  Glenny"/>
    <s v="Male"/>
    <s v="Business Development"/>
    <n v="90884.32"/>
    <d v="2019-12-27T00:00:00"/>
    <n v="1"/>
    <s v="Permanent"/>
    <x v="2"/>
    <n v="17840.036126126171"/>
    <d v="1899-12-30T21:45:00"/>
  </r>
  <r>
    <s v="SQ02565"/>
    <s v="Konstantin Timblett"/>
    <s v="Female"/>
    <s v="Training"/>
    <n v="56253.81"/>
    <d v="2021-08-13T00:00:00"/>
    <n v="1"/>
    <s v="Permanent"/>
    <x v="6"/>
    <n v="-16790.473873873838"/>
    <d v="1899-12-30T22:45:00"/>
  </r>
  <r>
    <s v="SQ02582"/>
    <s v="Kaishori Harathi Kateel"/>
    <s v="Female"/>
    <s v="Product Management"/>
    <n v="51798.25"/>
    <d v="2019-07-19T00:00:00"/>
    <n v="1"/>
    <s v="Permanent"/>
    <x v="1"/>
    <n v="-21246.033873873836"/>
    <d v="1899-12-30T23:45:00"/>
  </r>
  <r>
    <s v="SQ02624"/>
    <s v="Gwenneth Fealey"/>
    <s v="Female"/>
    <s v="other"/>
    <n v="114772.32"/>
    <d v="2021-02-24T00:00:00"/>
    <n v="1"/>
    <s v="Permanent"/>
    <x v="2"/>
    <n v="41728.036126126171"/>
    <d v="1899-12-31T00:45:00"/>
  </r>
  <r>
    <s v="SQ02638"/>
    <s v="Cara Havers"/>
    <s v="Male"/>
    <s v="Marketing"/>
    <n v="89605.13"/>
    <d v="2018-06-07T00:00:00"/>
    <n v="1"/>
    <s v="Permanent"/>
    <x v="5"/>
    <n v="16560.846126126169"/>
    <d v="1899-12-31T01:45:00"/>
  </r>
  <r>
    <s v="SQ02643"/>
    <s v="Indu Varada Sumedh"/>
    <s v="Female"/>
    <s v="Engineering"/>
    <n v="88425.08"/>
    <d v="2019-07-16T00:00:00"/>
    <n v="1"/>
    <s v="Permanent"/>
    <x v="1"/>
    <n v="15380.796126126166"/>
    <d v="1899-12-31T02:45:00"/>
  </r>
  <r>
    <s v="SQ02703"/>
    <s v="Deepit Ranjana"/>
    <s v="Female"/>
    <s v="Marketing"/>
    <n v="104903.79"/>
    <d v="2019-07-03T00:00:00"/>
    <n v="1"/>
    <s v="Permanent"/>
    <x v="4"/>
    <n v="31859.506126126158"/>
    <d v="1899-12-31T03:45:00"/>
  </r>
  <r>
    <s v="SQ03024"/>
    <s v="Inge Creer"/>
    <s v="Female"/>
    <s v="Services"/>
    <n v="69057.320000000007"/>
    <d v="2018-10-17T00:00:00"/>
    <n v="1"/>
    <s v="Permanent"/>
    <x v="0"/>
    <n v="-3986.9638738738286"/>
    <d v="1899-12-31T04:45:00"/>
  </r>
  <r>
    <s v="SQ03112"/>
    <s v="Kantimoy Pritish"/>
    <s v="Male"/>
    <s v="Product Management"/>
    <n v="77743.149999999994"/>
    <d v="2020-03-30T00:00:00"/>
    <n v="1"/>
    <s v="Permanent"/>
    <x v="4"/>
    <n v="4698.8661261261586"/>
    <d v="1899-12-31T05:45:00"/>
  </r>
  <r>
    <s v="SQ03116"/>
    <s v="Syd Fearn"/>
    <s v="Male"/>
    <s v="Engineering"/>
    <n v="108872.77"/>
    <d v="2019-02-25T00:00:00"/>
    <n v="1"/>
    <s v="Permanent"/>
    <x v="3"/>
    <n v="35828.486126126169"/>
    <d v="1899-12-31T06:45:00"/>
  </r>
  <r>
    <s v="SQ03321"/>
    <s v="Gradey Litton"/>
    <s v="Female"/>
    <s v="Accounting"/>
    <n v="68887.839999999997"/>
    <d v="2018-07-16T00:00:00"/>
    <n v="1"/>
    <s v="Permanent"/>
    <x v="3"/>
    <n v="-4156.443873873839"/>
    <d v="1899-12-31T07:45:00"/>
  </r>
  <r>
    <s v="SQ03350"/>
    <s v="Felice McMurty"/>
    <s v="Female"/>
    <s v="Product Management"/>
    <n v="66865.490000000005"/>
    <d v="2019-02-18T00:00:00"/>
    <n v="1"/>
    <s v="Permanent"/>
    <x v="5"/>
    <n v="-6178.7938738738303"/>
    <d v="1899-12-31T08:45:00"/>
  </r>
  <r>
    <s v="SQ03387"/>
    <s v="Robinia Scholling"/>
    <s v="Female"/>
    <s v="Human Resources"/>
    <n v="100731.95"/>
    <d v="2020-04-15T00:00:00"/>
    <n v="1"/>
    <s v="Permanent"/>
    <x v="6"/>
    <n v="27687.666126126162"/>
    <d v="1899-12-31T09:45:00"/>
  </r>
  <r>
    <s v="SQ03491"/>
    <s v="Freda Legan"/>
    <s v="Female"/>
    <s v="Sales"/>
    <n v="102129.37"/>
    <d v="2021-07-19T00:00:00"/>
    <n v="1"/>
    <s v="Permanent"/>
    <x v="2"/>
    <n v="29085.08612612616"/>
    <d v="1899-12-31T10:45:00"/>
  </r>
  <r>
    <s v="SQ03546"/>
    <s v="Amlankusum Rajabhushan"/>
    <s v="Female"/>
    <s v="Legal"/>
    <n v="75733.740000000005"/>
    <d v="2021-07-05T00:00:00"/>
    <n v="1"/>
    <s v="Permanent"/>
    <x v="1"/>
    <n v="2689.4561261261697"/>
    <d v="1899-12-31T11:45:00"/>
  </r>
  <r>
    <s v="SQ03625"/>
    <s v=" Fidela Artis"/>
    <s v="Female"/>
    <s v="Sales"/>
    <n v="78020.39"/>
    <d v="2020-03-09T00:00:00"/>
    <n v="1"/>
    <s v="Permanent"/>
    <x v="3"/>
    <n v="4976.1061261261639"/>
    <d v="1899-12-31T12:45:00"/>
  </r>
  <r>
    <s v="SQ03626"/>
    <s v="Krishnakanta Vellanki"/>
    <s v="Female"/>
    <s v="Training"/>
    <n v="95677.9"/>
    <d v="2021-07-19T00:00:00"/>
    <n v="0.3"/>
    <s v="Permanent"/>
    <x v="4"/>
    <n v="22633.616126126159"/>
    <d v="1899-12-31T13:45:00"/>
  </r>
  <r>
    <s v="SQ03733"/>
    <s v="Revkah Antonacci"/>
    <s v="Male"/>
    <s v="other"/>
    <n v="109143.17"/>
    <d v="2020-04-24T00:00:00"/>
    <n v="1"/>
    <s v="Permanent"/>
    <x v="0"/>
    <n v="36098.886126126163"/>
    <d v="1899-12-31T14:45:00"/>
  </r>
  <r>
    <s v="SQ04437"/>
    <s v="Hephzibah Summerell"/>
    <s v="Female"/>
    <s v="Services"/>
    <n v="28305.08"/>
    <d v="2019-10-16T00:00:00"/>
    <n v="1"/>
    <s v="Permanent"/>
    <x v="3"/>
    <n v="-44739.203873873834"/>
    <d v="1899-12-31T15:45:00"/>
  </r>
  <r>
    <s v="SQ04488"/>
    <s v="Ramnath Ravuri"/>
    <s v="Male"/>
    <s v="Marketing"/>
    <n v="76932.600000000006"/>
    <d v="2019-01-28T00:00:00"/>
    <n v="1"/>
    <s v="Permanent"/>
    <x v="1"/>
    <n v="3888.3161261261703"/>
    <d v="1899-12-31T16:45:00"/>
  </r>
  <r>
    <s v="SQ04598"/>
    <s v="Pearla  Beteriss"/>
    <s v="Male"/>
    <s v="Services"/>
    <n v="69913.39"/>
    <d v="2019-04-29T00:00:00"/>
    <n v="1"/>
    <s v="Permanent"/>
    <x v="3"/>
    <n v="-3130.8938738738361"/>
    <d v="1899-12-31T17:45:00"/>
  </r>
  <r>
    <s v="SQ04603"/>
    <s v="Natalee Craiker"/>
    <s v="Male"/>
    <s v="Product Management"/>
    <n v="111229.47"/>
    <d v="2018-10-29T00:00:00"/>
    <n v="1"/>
    <s v="Permanent"/>
    <x v="3"/>
    <n v="38185.186126126166"/>
    <d v="1899-12-31T18:45:00"/>
  </r>
  <r>
    <s v="SQ04612"/>
    <s v="Mick Spraberry"/>
    <s v="Female"/>
    <s v="Services"/>
    <n v="120000"/>
    <d v="2020-03-12T00:00:00"/>
    <n v="0.9"/>
    <s v="Permanent"/>
    <x v="3"/>
    <n v="46955.716126126164"/>
    <d v="1899-12-31T19:45:00"/>
  </r>
  <r>
    <s v="SQ04613"/>
    <s v="Sarojini Naueshwara"/>
    <s v="Female"/>
    <s v="Human Resources"/>
    <n v="85264.38"/>
    <d v="2018-04-30T00:00:00"/>
    <n v="1"/>
    <s v="Permanent"/>
    <x v="4"/>
    <n v="12220.096126126169"/>
    <d v="1899-12-31T20:45:00"/>
  </r>
  <r>
    <s v="SQ04665"/>
    <s v="Collin Jagson"/>
    <s v="Male"/>
    <s v="Services"/>
    <n v="100424.23"/>
    <d v="2019-12-02T00:00:00"/>
    <n v="1"/>
    <s v="Permanent"/>
    <x v="6"/>
    <n v="27379.94612612616"/>
    <d v="1899-12-31T21:45:00"/>
  </r>
  <r>
    <s v="SQ04960"/>
    <s v="Shubhra Potla"/>
    <s v="Female"/>
    <s v="Support"/>
    <n v="71924.850000000006"/>
    <d v="2019-12-23T00:00:00"/>
    <n v="1"/>
    <s v="Permanent"/>
    <x v="4"/>
    <n v="-1119.4338738738297"/>
    <d v="1899-12-31T22:45:00"/>
  </r>
  <r>
    <s v="TN00083"/>
    <s v="Chandana Sannidhi Surnilla"/>
    <s v="Female"/>
    <s v="Business Development"/>
    <n v="61688.77"/>
    <d v="2018-09-03T00:00:00"/>
    <n v="0.9"/>
    <s v="Permanent"/>
    <x v="4"/>
    <n v="-11355.513873873839"/>
    <d v="1899-12-31T23:45:00"/>
  </r>
  <r>
    <s v="TN00182"/>
    <s v="Camilla Castle"/>
    <s v="Female"/>
    <s v="Product Management"/>
    <n v="75475.929999999993"/>
    <d v="2019-11-25T00:00:00"/>
    <n v="1"/>
    <s v="Permanent"/>
    <x v="3"/>
    <n v="2431.6461261261575"/>
    <d v="1900-01-01T00:45:00"/>
  </r>
  <r>
    <s v="TN00214"/>
    <s v="Devsena Veluvalapalli"/>
    <s v="Female"/>
    <s v="Training"/>
    <n v="37902.35"/>
    <d v="2019-12-24T00:00:00"/>
    <n v="1"/>
    <s v="Permanent"/>
    <x v="4"/>
    <n v="-35141.933873873837"/>
    <d v="1900-01-01T01:45:00"/>
  </r>
  <r>
    <s v="TN00227"/>
    <s v="Raghuveer Yettugunna"/>
    <s v="Female"/>
    <s v="Support"/>
    <n v="63555.73"/>
    <d v="2020-11-24T00:00:00"/>
    <n v="1"/>
    <s v="Permanent"/>
    <x v="4"/>
    <n v="-9488.5538738738323"/>
    <d v="1900-01-01T02:45:00"/>
  </r>
  <r>
    <s v="TN00258"/>
    <s v="Joyce Leyband"/>
    <s v="Female"/>
    <s v="Product Management"/>
    <n v="68197.899999999994"/>
    <d v="2020-10-15T00:00:00"/>
    <n v="1"/>
    <s v="Permanent"/>
    <x v="6"/>
    <n v="-4846.3838738738414"/>
    <d v="1900-01-01T03:45:00"/>
  </r>
  <r>
    <s v="TN00328"/>
    <s v="Jeannie Petracco"/>
    <s v="Female"/>
    <s v="Engineering"/>
    <n v="94815.28"/>
    <d v="2018-12-06T00:00:00"/>
    <n v="1"/>
    <s v="Permanent"/>
    <x v="5"/>
    <n v="21770.996126126163"/>
    <d v="1900-01-01T04:45:00"/>
  </r>
  <r>
    <s v="TN00464"/>
    <s v="Gopal Venkata"/>
    <s v="Male"/>
    <s v="Research and Development"/>
    <n v="52748.63"/>
    <d v="2020-01-27T00:00:00"/>
    <n v="1"/>
    <s v="Permanent"/>
    <x v="4"/>
    <n v="-20295.653873873838"/>
    <d v="1900-01-01T05:45:00"/>
  </r>
  <r>
    <s v="TN00579"/>
    <s v="Rafaelita Blaksland "/>
    <s v="Female"/>
    <s v="Services"/>
    <n v="109163.39"/>
    <d v="2020-07-07T00:00:00"/>
    <n v="0.8"/>
    <s v="Permanent"/>
    <x v="5"/>
    <n v="36119.106126126164"/>
    <d v="1900-01-01T06:45:00"/>
  </r>
  <r>
    <s v="TN00698"/>
    <s v="Barbara-anne Kenchington"/>
    <s v="Female"/>
    <s v="Support"/>
    <n v="88034.67"/>
    <d v="2019-07-23T00:00:00"/>
    <n v="1"/>
    <s v="Permanent"/>
    <x v="3"/>
    <n v="14990.386126126163"/>
    <d v="1900-01-01T07:45:00"/>
  </r>
  <r>
    <s v="TN00727"/>
    <s v="Dulsea Folkes"/>
    <s v="Female"/>
    <s v="Services"/>
    <n v="42161.77"/>
    <d v="2019-01-29T00:00:00"/>
    <n v="1"/>
    <s v="Permanent"/>
    <x v="6"/>
    <n v="-30882.513873873839"/>
    <d v="1900-01-01T08:45:00"/>
  </r>
  <r>
    <s v="TN00735"/>
    <s v="Caresa Christer"/>
    <s v="Male"/>
    <s v="Support"/>
    <n v="59258.19"/>
    <d v="2018-12-18T00:00:00"/>
    <n v="0.8"/>
    <s v="Permanent"/>
    <x v="5"/>
    <n v="-13786.093873873833"/>
    <d v="1900-01-01T09:45:00"/>
  </r>
  <r>
    <s v="TN00890"/>
    <s v="Mayur Kousika"/>
    <s v="Female"/>
    <s v="Training"/>
    <n v="71570.990000000005"/>
    <d v="2021-02-22T00:00:00"/>
    <n v="0.5"/>
    <s v="Permanent"/>
    <x v="1"/>
    <n v="-1473.2938738738303"/>
    <d v="1900-01-01T10:45:00"/>
  </r>
  <r>
    <s v="TN01028"/>
    <s v="Alicea Pudsall"/>
    <s v="Male"/>
    <s v="Accounting"/>
    <n v="67633.850000000006"/>
    <d v="2018-08-28T00:00:00"/>
    <n v="1"/>
    <s v="Permanent"/>
    <x v="2"/>
    <n v="-5410.4338738738297"/>
    <d v="1900-01-01T11:45:00"/>
  </r>
  <r>
    <s v="TN01210"/>
    <s v="Alyosha Riquet"/>
    <s v="Male"/>
    <s v="Legal"/>
    <n v="89838.77"/>
    <d v="2019-05-17T00:00:00"/>
    <n v="1"/>
    <s v="Permanent"/>
    <x v="3"/>
    <n v="16794.486126126169"/>
    <d v="1900-01-01T12:45:00"/>
  </r>
  <r>
    <s v="TN01256"/>
    <s v="Shattesh Utpat"/>
    <s v="Male"/>
    <s v="Legal"/>
    <n v="28481.16"/>
    <d v="2020-03-26T00:00:00"/>
    <n v="1"/>
    <s v="Permanent"/>
    <x v="1"/>
    <n v="-44563.123873873832"/>
    <d v="1900-01-01T13:45:00"/>
  </r>
  <r>
    <s v="TN01281"/>
    <s v="Cletus McGarahan "/>
    <s v="Female"/>
    <s v="Engineering"/>
    <n v="114425.19"/>
    <d v="2020-01-27T00:00:00"/>
    <n v="1"/>
    <s v="Permanent"/>
    <x v="0"/>
    <n v="41380.906126126167"/>
    <d v="1900-01-01T14:45:00"/>
  </r>
  <r>
    <s v="TN01340"/>
    <s v="Granny Spencelayh"/>
    <s v="Male"/>
    <s v="Legal"/>
    <n v="99460.78"/>
    <d v="2020-05-05T00:00:00"/>
    <n v="1"/>
    <s v="Permanent"/>
    <x v="3"/>
    <n v="26416.496126126163"/>
    <d v="1900-01-01T15:45:00"/>
  </r>
  <r>
    <s v="TN01396"/>
    <s v="Koral Gerriet"/>
    <s v="Male"/>
    <s v="Support"/>
    <n v="30077.45"/>
    <d v="2019-01-09T00:00:00"/>
    <n v="1"/>
    <s v="Permanent"/>
    <x v="0"/>
    <n v="-42966.833873873838"/>
    <d v="1900-01-01T16:45:00"/>
  </r>
  <r>
    <s v="TN01566"/>
    <s v="Fonzie O'Shea "/>
    <s v="Male"/>
    <s v="Product Management"/>
    <n v="80360.41"/>
    <d v="2020-12-02T00:00:00"/>
    <n v="1"/>
    <s v="Permanent"/>
    <x v="3"/>
    <n v="7316.1261261261679"/>
    <d v="1900-01-01T17:45:00"/>
  </r>
  <r>
    <s v="TN01601"/>
    <s v="Melva  Jickells"/>
    <s v="Female"/>
    <s v="Product Management"/>
    <n v="68795.48"/>
    <d v="2021-03-22T00:00:00"/>
    <n v="0.2"/>
    <s v="Permanent"/>
    <x v="3"/>
    <n v="-4248.8038738738396"/>
    <d v="1900-01-01T18:45:00"/>
  </r>
  <r>
    <s v="TN01632"/>
    <s v="Katya Hundy"/>
    <s v="Male"/>
    <s v="Business Development"/>
    <n v="88511.17"/>
    <d v="2020-04-29T00:00:00"/>
    <n v="1"/>
    <s v="Permanent"/>
    <x v="2"/>
    <n v="15466.886126126163"/>
    <d v="1900-01-01T19:45:00"/>
  </r>
  <r>
    <s v="TN01701"/>
    <s v=" Yves Pawlik"/>
    <s v="Male"/>
    <s v="Accounting"/>
    <n v="57925.91"/>
    <d v="2019-04-17T00:00:00"/>
    <n v="0.5"/>
    <s v="Permanent"/>
    <x v="0"/>
    <n v="-15118.373873873832"/>
    <d v="1900-01-01T20:45:00"/>
  </r>
  <r>
    <s v="TN01876"/>
    <s v="Aileen McCritchie"/>
    <s v="Male"/>
    <s v="Business Development"/>
    <n v="80169.42"/>
    <d v="2020-08-10T00:00:00"/>
    <n v="1"/>
    <s v="Permanent"/>
    <x v="6"/>
    <n v="7125.1361261261627"/>
    <d v="1900-01-01T21:45:00"/>
  </r>
  <r>
    <s v="TN01912"/>
    <s v=" Fred Dudeney"/>
    <s v="Male"/>
    <s v="Services"/>
    <n v="88689.09"/>
    <d v="2019-10-02T00:00:00"/>
    <n v="1"/>
    <s v="Permanent"/>
    <x v="5"/>
    <n v="15644.806126126161"/>
    <d v="1900-01-01T22:45:00"/>
  </r>
  <r>
    <s v="TN02204"/>
    <s v="Aldrich Glenny"/>
    <s v="Male"/>
    <s v="Business Development"/>
    <n v="90884.32"/>
    <d v="2020-07-27T00:00:00"/>
    <n v="0.5"/>
    <s v="Permanent"/>
    <x v="2"/>
    <n v="17840.036126126171"/>
    <d v="1900-01-01T23:45:00"/>
  </r>
  <r>
    <s v="TN02205"/>
    <s v="Madhumati Gazala Soumitra"/>
    <s v="Male"/>
    <s v="Research and Development"/>
    <n v="69709.509999999995"/>
    <d v="2019-01-07T00:00:00"/>
    <n v="1"/>
    <s v="Permanent"/>
    <x v="1"/>
    <n v="-3334.7738738738408"/>
    <d v="1900-01-02T00:45:00"/>
  </r>
  <r>
    <s v="TN02397"/>
    <s v="Mendel  Gentsch"/>
    <s v="Male"/>
    <s v="Human Resources"/>
    <n v="28329.77"/>
    <d v="2018-10-29T00:00:00"/>
    <n v="1"/>
    <s v="Permanent"/>
    <x v="5"/>
    <n v="-44714.513873873831"/>
    <d v="1900-01-02T01:45:00"/>
  </r>
  <r>
    <s v="TN02570"/>
    <s v="Grady Rochelle"/>
    <s v="Female"/>
    <s v="Accounting"/>
    <n v="69163.39"/>
    <d v="2018-10-24T00:00:00"/>
    <n v="1"/>
    <s v="Permanent"/>
    <x v="3"/>
    <n v="-3880.8938738738361"/>
    <d v="1900-01-02T02:45:00"/>
  </r>
  <r>
    <s v="TN02674"/>
    <s v="Antonetta  Coggeshall"/>
    <s v="Male"/>
    <s v="Sales"/>
    <n v="96753.78"/>
    <d v="2021-10-25T00:00:00"/>
    <n v="1"/>
    <s v="Permanent"/>
    <x v="6"/>
    <n v="23709.496126126163"/>
    <d v="1900-01-02T03:45:00"/>
  </r>
  <r>
    <s v="TN02727"/>
    <s v="Wald Bountiff"/>
    <s v="Female"/>
    <s v="Support"/>
    <n v="28974.03"/>
    <d v="2019-09-25T00:00:00"/>
    <n v="1"/>
    <s v="Permanent"/>
    <x v="6"/>
    <n v="-44070.253873873837"/>
    <d v="1900-01-02T04:45:00"/>
  </r>
  <r>
    <s v="TN02749"/>
    <s v="Parasuramudu Jamakayala"/>
    <s v="Female"/>
    <s v="Training"/>
    <n v="57002.02"/>
    <d v="2018-04-02T00:00:00"/>
    <n v="0.7"/>
    <s v="Permanent"/>
    <x v="1"/>
    <n v="-16042.263873873839"/>
    <d v="1900-01-02T05:45:00"/>
  </r>
  <r>
    <s v="TN02798"/>
    <s v="Krittika Gaekwad"/>
    <s v="Female"/>
    <s v="Business Development"/>
    <n v="33031.26"/>
    <d v="2019-01-03T00:00:00"/>
    <n v="0.4"/>
    <s v="Permanent"/>
    <x v="1"/>
    <n v="-40013.023873873834"/>
    <d v="1900-01-02T06:45:00"/>
  </r>
  <r>
    <s v="TN02883"/>
    <s v="John Joseph"/>
    <s v="Female"/>
    <s v="Sales"/>
    <n v="84762.76"/>
    <d v="2018-08-20T00:00:00"/>
    <n v="1"/>
    <s v="Permanent"/>
    <x v="1"/>
    <n v="11718.476126126159"/>
    <d v="1900-01-02T07:45:00"/>
  </r>
  <r>
    <s v="TN02988"/>
    <s v="Mahindra Sreedharan"/>
    <s v="Male"/>
    <s v="Engineering"/>
    <n v="92943.89"/>
    <d v="2021-11-10T00:00:00"/>
    <n v="1"/>
    <s v="Permanent"/>
    <x v="1"/>
    <n v="19899.606126126164"/>
    <d v="1900-01-02T08:45:00"/>
  </r>
  <r>
    <s v="TN03032"/>
    <s v="Jaipal Potanapudi"/>
    <s v="Female"/>
    <s v="Research and Development"/>
    <n v="39700.82"/>
    <d v="2021-01-07T00:00:00"/>
    <n v="0.8"/>
    <s v="Permanent"/>
    <x v="4"/>
    <n v="-33343.463873873836"/>
    <d v="1900-01-02T09:45:00"/>
  </r>
  <r>
    <s v="TN03068"/>
    <s v="Gumwant Veera"/>
    <s v="Male"/>
    <s v="Business Development"/>
    <n v="39784.239999999998"/>
    <d v="2018-12-31T00:00:00"/>
    <n v="1"/>
    <s v="Fixed Term"/>
    <x v="4"/>
    <n v="-33260.043873873838"/>
    <d v="1900-01-02T10:45:00"/>
  </r>
  <r>
    <s v="TN03097"/>
    <s v="Bendite  Bloan"/>
    <s v="Male"/>
    <s v="Marketing"/>
    <n v="31816.57"/>
    <d v="2019-02-01T00:00:00"/>
    <n v="0.3"/>
    <s v="Fixed Term"/>
    <x v="3"/>
    <n v="-41227.713873873836"/>
    <d v="1900-01-02T11:45:00"/>
  </r>
  <r>
    <s v="TN03169"/>
    <s v="Doe Clubley"/>
    <s v="Female"/>
    <s v="Product Management"/>
    <n v="67818.14"/>
    <d v="2018-11-02T00:00:00"/>
    <n v="0.6"/>
    <s v="Fixed Term"/>
    <x v="3"/>
    <n v="-5226.1438738738361"/>
    <d v="1900-01-02T12:45:00"/>
  </r>
  <r>
    <s v="TN03210"/>
    <s v="Suman Katte"/>
    <s v="Male"/>
    <s v="Training"/>
    <n v="79567.69"/>
    <d v="2018-06-21T00:00:00"/>
    <n v="1"/>
    <s v="Fixed Term"/>
    <x v="4"/>
    <n v="6523.4061261261668"/>
    <d v="1900-01-02T13:45:00"/>
  </r>
  <r>
    <s v="TN03331"/>
    <s v="Crawford Scad"/>
    <s v="Male"/>
    <s v="Human Resources"/>
    <n v="72876.91"/>
    <d v="2019-05-27T00:00:00"/>
    <n v="0.4"/>
    <s v="Fixed Term"/>
    <x v="6"/>
    <n v="-167.37387387383205"/>
    <d v="1900-01-02T14:45:00"/>
  </r>
  <r>
    <s v="TN03355"/>
    <s v="Ruby Cracie"/>
    <s v="Male"/>
    <s v="Research and Development"/>
    <n v="78705.929999999993"/>
    <d v="2018-11-05T00:00:00"/>
    <n v="1"/>
    <s v="Fixed Term"/>
    <x v="5"/>
    <n v="5661.6461261261575"/>
    <d v="1900-01-02T15:45:00"/>
  </r>
  <r>
    <s v="TN03416"/>
    <s v="Seward Kubera"/>
    <s v="Male"/>
    <s v="Engineering"/>
    <n v="43329.22"/>
    <d v="2019-12-10T00:00:00"/>
    <n v="0.5"/>
    <s v="Fixed Term"/>
    <x v="3"/>
    <n v="-29715.063873873834"/>
    <d v="1900-01-02T16:45:00"/>
  </r>
  <r>
    <s v="TN03575"/>
    <s v="Janina Wolverson"/>
    <s v="Female"/>
    <s v="Research and Development"/>
    <n v="99683.67"/>
    <d v="2019-02-04T00:00:00"/>
    <n v="1"/>
    <s v="Fixed Term"/>
    <x v="5"/>
    <n v="26639.386126126163"/>
    <d v="1900-01-02T17:45:00"/>
  </r>
  <r>
    <s v="TN04058"/>
    <s v="Subbarao Malladi"/>
    <s v="Male"/>
    <s v="Product Management"/>
    <n v="106775.14"/>
    <d v="2019-04-08T00:00:00"/>
    <n v="1"/>
    <s v="Fixed Term"/>
    <x v="1"/>
    <n v="33730.856126126164"/>
    <d v="1900-01-02T18:45:00"/>
  </r>
  <r>
    <s v="TN04067"/>
    <s v="Lea Chaplin"/>
    <s v="Female"/>
    <s v="Human Resources"/>
    <n v="73488.679999999993"/>
    <d v="2019-04-15T00:00:00"/>
    <n v="1"/>
    <s v="Fixed Term"/>
    <x v="5"/>
    <n v="444.39612612615747"/>
    <d v="1900-01-02T19:45:00"/>
  </r>
  <r>
    <s v="TN04101"/>
    <s v="Marline Wahncke"/>
    <s v="Male"/>
    <s v="Legal"/>
    <n v="72843.23"/>
    <d v="2018-06-29T00:00:00"/>
    <n v="1"/>
    <s v="Fixed Term"/>
    <x v="0"/>
    <n v="-201.05387387383962"/>
    <d v="1900-01-02T20:45:00"/>
  </r>
  <r>
    <s v="TN04166"/>
    <s v="Tadio  Dowdle"/>
    <s v="Female"/>
    <s v="Product Management"/>
    <n v="91929.69"/>
    <d v="2020-09-11T00:00:00"/>
    <n v="1"/>
    <s v="Fixed Term"/>
    <x v="3"/>
    <n v="18885.406126126167"/>
    <d v="1900-01-02T21:45:00"/>
  </r>
  <r>
    <s v="TN04175"/>
    <s v="Hinda Label "/>
    <s v="Female"/>
    <s v="Human Resources"/>
    <n v="92704.48"/>
    <d v="2018-11-26T00:00:00"/>
    <n v="1"/>
    <s v="Fixed Term"/>
    <x v="2"/>
    <n v="19660.19612612616"/>
    <d v="1900-01-02T22:45:00"/>
  </r>
  <r>
    <s v="TN04246"/>
    <s v="Shaylyn Ransbury "/>
    <s v="Female"/>
    <s v="Support"/>
    <n v="100371.31"/>
    <d v="2020-08-24T00:00:00"/>
    <n v="0.8"/>
    <s v="Fixed Term"/>
    <x v="6"/>
    <n v="27327.026126126162"/>
    <d v="1900-01-02T23:45:00"/>
  </r>
  <r>
    <s v="TN04265"/>
    <s v="Rushil Kripa"/>
    <s v="Female"/>
    <s v="Training"/>
    <n v="93964.3"/>
    <d v="2021-09-15T00:00:00"/>
    <n v="0.4"/>
    <s v="Fixed Term"/>
    <x v="1"/>
    <n v="20920.016126126167"/>
    <d v="1900-01-03T00:45:00"/>
  </r>
  <r>
    <s v="TN04660"/>
    <s v="Thedrick Bothwell"/>
    <s v="Male"/>
    <s v="Business Development"/>
    <n v="69764.100000000006"/>
    <d v="2020-12-30T00:00:00"/>
    <n v="1"/>
    <s v="Fixed Term"/>
    <x v="5"/>
    <n v="-3280.1838738738297"/>
    <d v="1900-01-03T01:45:00"/>
  </r>
  <r>
    <s v="TN04740"/>
    <s v="Tristam Cuming"/>
    <s v="Female"/>
    <s v="Support"/>
    <n v="104038.9"/>
    <d v="2019-12-16T00:00:00"/>
    <n v="1"/>
    <s v="Fixed Term"/>
    <x v="3"/>
    <n v="30994.616126126159"/>
    <d v="1900-01-03T02:45:00"/>
  </r>
  <r>
    <s v="TN04775"/>
    <s v="Hridaynath Tendulkar"/>
    <s v="Female"/>
    <s v="Legal"/>
    <n v="31089.22"/>
    <d v="2019-11-07T00:00:00"/>
    <n v="1"/>
    <s v="Fixed Term"/>
    <x v="4"/>
    <n v="-41955.063873873834"/>
    <d v="1900-01-03T03:45:00"/>
  </r>
  <r>
    <s v="TN04892"/>
    <s v="Luca Wolstenholme"/>
    <s v="Male"/>
    <s v="Engineering"/>
    <n v="53184.02"/>
    <d v="2018-03-21T00:00:00"/>
    <n v="1"/>
    <s v="Fixed Term"/>
    <x v="3"/>
    <n v="-19860.263873873839"/>
    <d v="1900-01-03T04:45:00"/>
  </r>
  <r>
    <s v="VT00194"/>
    <s v="Violante Courtonne"/>
    <s v="Female"/>
    <s v="Product Management"/>
    <n v="49625.64"/>
    <d v="2021-07-07T00:00:00"/>
    <n v="0.5"/>
    <s v="Fixed Term"/>
    <x v="3"/>
    <n v="-23418.643873873836"/>
    <d v="1900-01-03T05:45:00"/>
  </r>
  <r>
    <s v="VT00336"/>
    <s v="Shevantilal Muppala"/>
    <s v="Male"/>
    <s v="Services"/>
    <n v="47646.95"/>
    <d v="2019-11-22T00:00:00"/>
    <n v="0.3"/>
    <s v="Fixed Term"/>
    <x v="4"/>
    <n v="-25397.333873873838"/>
    <d v="1900-01-03T06:45:00"/>
  </r>
  <r>
    <s v="VT00476"/>
    <s v="Adolph  Hartin"/>
    <s v="Male"/>
    <s v="Product Management"/>
    <n v="89960.6"/>
    <d v="2019-02-19T00:00:00"/>
    <n v="1"/>
    <s v="Fixed Term"/>
    <x v="6"/>
    <n v="16916.31612612617"/>
    <d v="1900-01-03T07:45:00"/>
  </r>
  <r>
    <s v="VT00534"/>
    <s v="Roselle Wandrach"/>
    <s v="Male"/>
    <s v="Sales"/>
    <n v="91314.75"/>
    <d v="2020-04-10T00:00:00"/>
    <n v="1"/>
    <s v="Fixed Term"/>
    <x v="5"/>
    <n v="18270.466126126164"/>
    <d v="1900-01-03T08:45:00"/>
  </r>
  <r>
    <s v="VT00578"/>
    <s v="Magnum Locksley"/>
    <s v="Female"/>
    <s v="Services"/>
    <n v="42314.39"/>
    <d v="2021-10-18T00:00:00"/>
    <n v="1"/>
    <s v="Fixed Term"/>
    <x v="3"/>
    <n v="-30729.893873873836"/>
    <d v="1900-01-03T09:45:00"/>
  </r>
  <r>
    <s v="VT00596"/>
    <s v="Letisha Carrett"/>
    <s v="Female"/>
    <s v="Sales"/>
    <n v="84598.88"/>
    <d v="2020-10-12T00:00:00"/>
    <n v="1"/>
    <s v="Fixed Term"/>
    <x v="5"/>
    <n v="11554.596126126169"/>
    <d v="1900-01-03T10:45:00"/>
  </r>
  <r>
    <s v="VT00687"/>
    <s v="Godavari Veena"/>
    <s v="Male"/>
    <s v="Engineering"/>
    <n v="78443.78"/>
    <d v="2019-05-14T00:00:00"/>
    <n v="1"/>
    <s v="Fixed Term"/>
    <x v="1"/>
    <n v="5399.4961261261633"/>
    <d v="1900-01-03T11:45:00"/>
  </r>
  <r>
    <s v="VT00740"/>
    <s v="Chitrasen Laul"/>
    <s v="Female"/>
    <s v="Research and Development"/>
    <n v="46751.7"/>
    <d v="2020-01-13T00:00:00"/>
    <n v="1"/>
    <s v="Fixed Term"/>
    <x v="1"/>
    <n v="-26292.583873873838"/>
    <d v="1900-01-03T12:45:00"/>
  </r>
  <r>
    <s v="VT01092"/>
    <s v="Tabby  Astall"/>
    <s v="Male"/>
    <s v="Accounting"/>
    <n v="57419.35"/>
    <d v="2018-07-24T00:00:00"/>
    <n v="1"/>
    <s v="Fixed Term"/>
    <x v="6"/>
    <n v="-15624.933873873837"/>
    <d v="1900-01-03T13:45:00"/>
  </r>
  <r>
    <s v="VT01101"/>
    <s v="Adela Dowsett"/>
    <s v="Male"/>
    <s v="Support"/>
    <n v="95017.1"/>
    <d v="2018-07-02T00:00:00"/>
    <n v="1"/>
    <s v="Fixed Term"/>
    <x v="5"/>
    <n v="21972.81612612617"/>
    <d v="1900-01-03T14:45:00"/>
  </r>
  <r>
    <s v="VT01246"/>
    <s v="Zach Polon"/>
    <s v="Male"/>
    <s v="Marketing"/>
    <n v="53535.62"/>
    <d v="2020-10-06T00:00:00"/>
    <n v="0.5"/>
    <s v="Fixed Term"/>
    <x v="5"/>
    <n v="-19508.663873873833"/>
    <d v="1900-01-03T15:45:00"/>
  </r>
  <r>
    <s v="VT01249"/>
    <s v="Brendan  Edgeller"/>
    <s v="Female"/>
    <s v="Legal"/>
    <n v="31042.51"/>
    <d v="2021-10-04T00:00:00"/>
    <n v="0.3"/>
    <s v="Fixed Term"/>
    <x v="3"/>
    <n v="-42001.773873873841"/>
    <d v="1900-01-03T16:45:00"/>
  </r>
  <r>
    <s v="VT01323"/>
    <s v="Mardav Ramaswami"/>
    <s v="Female"/>
    <s v="Business Development"/>
    <n v="86233.83"/>
    <d v="2019-08-29T00:00:00"/>
    <n v="1"/>
    <s v="Fixed Term"/>
    <x v="4"/>
    <n v="13189.546126126166"/>
    <d v="1900-01-03T17:45:00"/>
  </r>
  <r>
    <s v="VT01523"/>
    <s v="Charmane Heistermann"/>
    <s v="Female"/>
    <s v="Business Development"/>
    <n v="86558.58"/>
    <d v="2020-02-26T00:00:00"/>
    <n v="1"/>
    <s v="Fixed Term"/>
    <x v="3"/>
    <n v="13514.296126126166"/>
    <d v="1900-01-03T18:45:00"/>
  </r>
  <r>
    <s v="VT01610"/>
    <s v="Dhruv Manjunath"/>
    <s v="Female"/>
    <s v="Accounting"/>
    <n v="76303.820000000007"/>
    <d v="2018-12-24T00:00:00"/>
    <n v="1"/>
    <s v="Fixed Term"/>
    <x v="1"/>
    <n v="3259.5361261261714"/>
    <d v="1900-01-03T19:45:00"/>
  </r>
  <r>
    <s v="VT01684"/>
    <s v="Audry Yu"/>
    <s v="Female"/>
    <s v="Training"/>
    <n v="101187.36"/>
    <d v="2018-06-07T00:00:00"/>
    <n v="1"/>
    <s v="Fixed Term"/>
    <x v="2"/>
    <n v="28143.076126126165"/>
    <d v="1900-01-03T20:45:00"/>
  </r>
  <r>
    <s v="VT01703"/>
    <s v="Upendra Swati"/>
    <s v="Male"/>
    <s v="Engineering"/>
    <n v="61624.77"/>
    <d v="2018-11-26T00:00:00"/>
    <n v="0.3"/>
    <s v="Fixed Term"/>
    <x v="1"/>
    <n v="-11419.513873873839"/>
    <d v="1900-01-03T21:45:00"/>
  </r>
  <r>
    <s v="VT01740"/>
    <s v="Ginger  Myott"/>
    <s v="Female"/>
    <s v="Services"/>
    <n v="31172.77"/>
    <d v="2019-07-19T00:00:00"/>
    <n v="1"/>
    <s v="Fixed Term"/>
    <x v="3"/>
    <n v="-41871.513873873831"/>
    <d v="1900-01-03T22:45:00"/>
  </r>
  <r>
    <s v="VT01762"/>
    <s v="Geena Raghavanpillai"/>
    <s v="Male"/>
    <s v="Accounting"/>
    <n v="102515.81"/>
    <d v="2020-03-12T00:00:00"/>
    <n v="1"/>
    <s v="Fixed Term"/>
    <x v="4"/>
    <n v="29471.526126126162"/>
    <d v="1900-01-03T23:45:00"/>
  </r>
  <r>
    <s v="VT01803"/>
    <s v="Freddy Linford"/>
    <s v="Female"/>
    <s v="Training"/>
    <n v="93128.34"/>
    <d v="2018-03-05T00:00:00"/>
    <n v="1"/>
    <s v="Fixed Term"/>
    <x v="5"/>
    <n v="20084.056126126161"/>
    <d v="1900-01-04T00:45:00"/>
  </r>
  <r>
    <s v="VT01893"/>
    <s v="Lindy Guillet"/>
    <s v="Male"/>
    <s v="Training"/>
    <n v="112778.28"/>
    <d v="2018-05-30T00:00:00"/>
    <n v="1"/>
    <s v="Fixed Term"/>
    <x v="3"/>
    <n v="39733.996126126163"/>
    <d v="1900-01-04T01:45:00"/>
  </r>
  <r>
    <s v="VT01996"/>
    <s v="Hali Behnecke"/>
    <s v="Male"/>
    <s v="Human Resources"/>
    <n v="65569.36"/>
    <d v="2018-07-12T00:00:00"/>
    <n v="1"/>
    <s v="Fixed Term"/>
    <x v="6"/>
    <n v="-7474.923873873835"/>
    <d v="1900-01-04T02:45:00"/>
  </r>
  <r>
    <s v="VT02118"/>
    <s v="Oorjit Nandanavanam"/>
    <s v="Female"/>
    <s v="other"/>
    <n v="51165.37"/>
    <d v="2021-02-10T00:00:00"/>
    <n v="1"/>
    <s v="Fixed Term"/>
    <x v="1"/>
    <n v="-21878.913873873833"/>
    <d v="1900-01-04T03:45:00"/>
  </r>
  <r>
    <s v="VT02260"/>
    <s v="Rhiamon Mollison"/>
    <s v="Female"/>
    <s v="Research and Development"/>
    <n v="59434.18"/>
    <d v="2020-04-10T00:00:00"/>
    <n v="1"/>
    <s v="Temporary"/>
    <x v="5"/>
    <n v="-13610.103873873835"/>
    <d v="1900-01-04T04:45:00"/>
  </r>
  <r>
    <s v="VT02313"/>
    <s v="Thekla Lynnett"/>
    <s v="Male"/>
    <s v="Training"/>
    <n v="53949.26"/>
    <d v="2019-12-09T00:00:00"/>
    <n v="1"/>
    <s v="Temporary"/>
    <x v="2"/>
    <n v="-19095.023873873834"/>
    <d v="1900-01-04T05:45:00"/>
  </r>
  <r>
    <s v="VT02319"/>
    <s v="Tarala Vishaal"/>
    <s v="Female"/>
    <s v="Research and Development"/>
    <n v="96555.53"/>
    <d v="2019-01-24T00:00:00"/>
    <n v="0.2"/>
    <s v="Temporary"/>
    <x v="1"/>
    <n v="23511.246126126163"/>
    <d v="1900-01-04T06:45:00"/>
  </r>
  <r>
    <s v="VT02374"/>
    <s v="Delphine Jewis"/>
    <s v="Female"/>
    <s v="Accounting"/>
    <n v="71823.56"/>
    <d v="2018-10-01T00:00:00"/>
    <n v="0.3"/>
    <s v="Temporary"/>
    <x v="3"/>
    <n v="-1220.7238738738379"/>
    <d v="1900-01-04T07:45:00"/>
  </r>
  <r>
    <s v="VT02417"/>
    <s v="Evangelina Lergan"/>
    <s v="Male"/>
    <s v="Support"/>
    <n v="61214.26"/>
    <d v="2018-01-12T00:00:00"/>
    <n v="1"/>
    <s v="Temporary"/>
    <x v="6"/>
    <n v="-11830.023873873834"/>
    <d v="1900-01-04T08:45:00"/>
  </r>
  <r>
    <s v="VT02491"/>
    <s v="Alexis Gotfrey"/>
    <s v="Male"/>
    <s v="Engineering"/>
    <n v="114465.93"/>
    <d v="2018-07-10T00:00:00"/>
    <n v="1"/>
    <s v="Temporary"/>
    <x v="0"/>
    <n v="41421.646126126157"/>
    <d v="1900-01-04T09:45:00"/>
  </r>
  <r>
    <s v="VT02532"/>
    <s v="Adey Ryal"/>
    <s v="Female"/>
    <s v="Legal"/>
    <n v="32496.880000000001"/>
    <d v="2018-05-14T00:00:00"/>
    <n v="1"/>
    <s v="Temporary"/>
    <x v="3"/>
    <n v="-40547.403873873831"/>
    <d v="1900-01-04T10:45:00"/>
  </r>
  <r>
    <s v="VT02539"/>
    <s v="Devinne Tuny"/>
    <s v="Male"/>
    <s v="Engineering"/>
    <n v="39969.72"/>
    <d v="2018-12-10T00:00:00"/>
    <n v="1"/>
    <s v="Temporary"/>
    <x v="2"/>
    <n v="-33074.563873873834"/>
    <d v="1900-01-04T11:45:00"/>
  </r>
  <r>
    <s v="VT02663"/>
    <s v="Sravanthi Chalaki"/>
    <s v="Male"/>
    <s v="Legal"/>
    <n v="28481.16"/>
    <d v="2021-02-01T00:00:00"/>
    <n v="1"/>
    <s v="Temporary"/>
    <x v="4"/>
    <n v="-44563.123873873832"/>
    <d v="1900-01-04T12:45:00"/>
  </r>
  <r>
    <s v="VT02801"/>
    <s v="Shellysheldon Mahady"/>
    <s v="Male"/>
    <s v="Training"/>
    <n v="114691.03"/>
    <d v="2020-07-27T00:00:00"/>
    <n v="1"/>
    <s v="Temporary"/>
    <x v="0"/>
    <n v="41646.746126126163"/>
    <d v="1900-01-04T13:45:00"/>
  </r>
  <r>
    <s v="VT03298"/>
    <s v="Nonah Bissell"/>
    <s v="Male"/>
    <s v="Engineering"/>
    <n v="82239.53"/>
    <d v="2020-01-16T00:00:00"/>
    <n v="1"/>
    <s v="Temporary"/>
    <x v="2"/>
    <n v="9195.2461261261633"/>
    <d v="1900-01-04T14:45:00"/>
  </r>
  <r>
    <s v="VT03307"/>
    <s v="Tallie Chaikovski"/>
    <s v="Male"/>
    <s v="Sales"/>
    <n v="83191.95"/>
    <d v="2019-08-23T00:00:00"/>
    <n v="0.6"/>
    <s v="Temporary"/>
    <x v="3"/>
    <n v="10147.666126126162"/>
    <d v="1900-01-04T15:45:00"/>
  </r>
  <r>
    <s v="VT03421"/>
    <s v="Alic Bagg"/>
    <s v="Male"/>
    <s v="Legal"/>
    <n v="113747.56"/>
    <d v="2021-03-15T00:00:00"/>
    <n v="0.7"/>
    <s v="Temporary"/>
    <x v="2"/>
    <n v="40703.276126126162"/>
    <d v="1900-01-04T16:45:00"/>
  </r>
  <r>
    <s v="VT03500"/>
    <s v="Shiuli Sapna"/>
    <s v="Male"/>
    <s v="Support"/>
    <n v="37062.1"/>
    <d v="2021-06-10T00:00:00"/>
    <n v="1"/>
    <s v="Temporary"/>
    <x v="4"/>
    <n v="-35982.183873873837"/>
    <d v="1900-01-04T17:45:00"/>
  </r>
  <r>
    <s v="VT03537"/>
    <s v="Renaldo Thomassin"/>
    <s v="Male"/>
    <s v="Business Development"/>
    <n v="73360.38"/>
    <d v="2020-05-21T00:00:00"/>
    <n v="1"/>
    <s v="Temporary"/>
    <x v="3"/>
    <n v="316.09612612616911"/>
    <d v="1900-01-04T18:45:00"/>
  </r>
  <r>
    <s v="VT03552"/>
    <s v="Kamalakshi Mukundan"/>
    <s v="Male"/>
    <s v="Engineering"/>
    <n v="36536.26"/>
    <d v="2021-06-11T00:00:00"/>
    <n v="1"/>
    <s v="Temporary"/>
    <x v="1"/>
    <n v="-36508.023873873834"/>
    <d v="1900-01-04T19:45:00"/>
  </r>
  <r>
    <s v="VT03701"/>
    <s v="Narois Motiwala"/>
    <s v="Female"/>
    <s v="Product Management"/>
    <n v="89829.33"/>
    <d v="2019-11-25T00:00:00"/>
    <n v="1"/>
    <s v="Temporary"/>
    <x v="4"/>
    <n v="16785.046126126166"/>
    <d v="1900-01-04T20:45:00"/>
  </r>
  <r>
    <s v="VT03771"/>
    <s v="Marjie Bamford"/>
    <s v="Male"/>
    <s v="Sales"/>
    <n v="80772.92"/>
    <d v="2020-11-02T00:00:00"/>
    <n v="1"/>
    <s v="Temporary"/>
    <x v="3"/>
    <n v="7728.6361261261627"/>
    <d v="1900-01-04T21:45:00"/>
  </r>
  <r>
    <s v="VT03849"/>
    <s v="Leonidas Cavaney"/>
    <s v="Male"/>
    <s v="Accounting"/>
    <n v="52246.29"/>
    <d v="2019-04-18T00:00:00"/>
    <n v="1"/>
    <s v="Temporary"/>
    <x v="0"/>
    <n v="-20797.993873873835"/>
    <d v="1900-01-04T22:45:00"/>
  </r>
  <r>
    <s v="VT03988"/>
    <s v="Venkat Kodi"/>
    <s v="Female"/>
    <s v="Support"/>
    <n v="58935.92"/>
    <d v="2019-09-09T00:00:00"/>
    <n v="1"/>
    <s v="Temporary"/>
    <x v="1"/>
    <n v="-14108.363873873837"/>
    <d v="1900-01-04T23:45:00"/>
  </r>
  <r>
    <s v="VT03993"/>
    <s v="Dulce Colbeck"/>
    <s v="Male"/>
    <s v="Human Resources"/>
    <n v="83396.5"/>
    <d v="2021-03-30T00:00:00"/>
    <n v="1"/>
    <s v="Temporary"/>
    <x v="6"/>
    <n v="10352.216126126164"/>
    <d v="1900-01-05T00:45:00"/>
  </r>
  <r>
    <s v="VT04028"/>
    <s v="Michale Rolf"/>
    <s v="Male"/>
    <s v="Services"/>
    <n v="111815.49"/>
    <d v="2020-03-05T00:00:00"/>
    <n v="0.7"/>
    <s v="Temporary"/>
    <x v="3"/>
    <n v="38771.20612612617"/>
    <d v="1900-01-05T01:45:00"/>
  </r>
  <r>
    <s v="VT04093"/>
    <s v="Prasanna Lakshmi Payasam"/>
    <s v="Female"/>
    <s v="Training"/>
    <n v="116767.63"/>
    <d v="2020-04-28T00:00:00"/>
    <n v="0.4"/>
    <s v="Temporary"/>
    <x v="4"/>
    <n v="43723.346126126169"/>
    <d v="1900-01-05T02:45:00"/>
  </r>
  <r>
    <s v="VT04273"/>
    <s v="Brad Gumb"/>
    <s v="Male"/>
    <s v="Accounting"/>
    <n v="38825.18"/>
    <d v="2019-08-19T00:00:00"/>
    <n v="1"/>
    <s v="Temporary"/>
    <x v="3"/>
    <n v="-34219.103873873835"/>
    <d v="1900-01-05T03:45:00"/>
  </r>
  <r>
    <s v="VT04350"/>
    <s v="Kulbhushan Moorthy"/>
    <s v="Male"/>
    <s v="Business Development"/>
    <n v="106400.02"/>
    <d v="2020-07-09T00:00:00"/>
    <n v="1"/>
    <s v="Temporary"/>
    <x v="4"/>
    <n v="33355.736126126169"/>
    <d v="1900-01-05T04:45:00"/>
  </r>
  <r>
    <s v="VT04373"/>
    <s v="Edi  Hofton"/>
    <s v="Male"/>
    <s v="Research and Development"/>
    <n v="28160.79"/>
    <d v="2018-01-29T00:00:00"/>
    <n v="1"/>
    <s v="Temporary"/>
    <x v="3"/>
    <n v="-44883.493873873835"/>
    <d v="1900-01-05T05:45:00"/>
  </r>
  <r>
    <s v="VT04415"/>
    <s v="Malory Biles"/>
    <s v="Female"/>
    <s v="Training"/>
    <n v="58744.17"/>
    <d v="2018-03-12T00:00:00"/>
    <n v="1"/>
    <s v="Temporary"/>
    <x v="2"/>
    <n v="-14300.113873873837"/>
    <d v="1900-01-05T06:45:00"/>
  </r>
  <r>
    <s v="VT04467"/>
    <s v="Amal Nimesh"/>
    <s v="Female"/>
    <s v="Marketing"/>
    <n v="70755.5"/>
    <d v="2020-09-16T00:00:00"/>
    <n v="0.8"/>
    <s v="Temporary"/>
    <x v="1"/>
    <n v="-2288.7838738738355"/>
    <d v="1900-01-05T07:45:00"/>
  </r>
  <r>
    <s v="VT04552"/>
    <s v="Theresita Chasmer"/>
    <s v="Female"/>
    <s v="Product Management"/>
    <n v="106665.67"/>
    <d v="2018-07-30T00:00:00"/>
    <n v="1"/>
    <s v="Temporary"/>
    <x v="2"/>
    <n v="33621.386126126163"/>
    <d v="1900-01-05T08:45:00"/>
  </r>
  <r>
    <s v="VT04627"/>
    <s v="Yvette  Bett"/>
    <s v="Male"/>
    <s v="Human Resources"/>
    <n v="76320.44"/>
    <d v="2021-07-06T00:00:00"/>
    <n v="0.8"/>
    <s v="Temporary"/>
    <x v="3"/>
    <n v="3276.1561261261668"/>
    <d v="1900-01-05T09:45:00"/>
  </r>
  <r>
    <s v="VT04681"/>
    <s v="Nickolai  Artin"/>
    <s v="Female"/>
    <s v="Product Management"/>
    <n v="110906.35"/>
    <d v="2018-11-30T00:00:00"/>
    <n v="1"/>
    <s v="Temporary"/>
    <x v="0"/>
    <n v="37862.06612612617"/>
    <d v="1900-01-05T10:45:00"/>
  </r>
  <r>
    <s v="VT04905"/>
    <s v="Suchira Bhanupriya Tapti"/>
    <s v="Female"/>
    <s v="Human Resources"/>
    <n v="29808.07"/>
    <d v="2018-07-10T00:00:00"/>
    <n v="0.3"/>
    <s v="Temporary"/>
    <x v="1"/>
    <n v="-43236.213873873836"/>
    <d v="1900-01-05T11:45:00"/>
  </r>
  <r>
    <s v="VT04984"/>
    <s v="Dell Molloy"/>
    <s v="Male"/>
    <s v="Engineering"/>
    <n v="47362.62"/>
    <d v="2020-05-22T00:00:00"/>
    <n v="1"/>
    <s v="Temporary"/>
    <x v="3"/>
    <n v="-25681.663873873833"/>
    <d v="1900-01-05T12:45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DD5CC-4AEC-4592-B866-8C1519E67CD2}" name="PivotChartTable5" cacheId="30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chartFormat="9">
  <location ref="A1:B4" firstHeaderRow="1" firstDataRow="1" firstDataCol="1"/>
  <pivotFields count="2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FTE" fld="1" baseField="0" baseItem="0"/>
  </dataFields>
  <chartFormats count="1">
    <chartFormat chart="8" format="2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1366718111">
        <x15:pivotRow count="1">
          <x15:c>
            <x15:v>97.999999999999986</x15:v>
          </x15:c>
        </x15:pivotRow>
        <x15:pivotRow count="1">
          <x15:c>
            <x15:v>100.6</x15:v>
          </x15:c>
        </x15:pivotRow>
        <x15:pivotRow count="1">
          <x15:c>
            <x15:v>198.60000000000008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formatting.xlsx!Salary__2">
        <x15:activeTabTopLevelEntity name="[Salary_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DD5CC-4AEC-4592-B866-8C1519E67CD2}" name="PivotChartTable4" cacheId="29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chartFormat="8">
  <location ref="A1:B5" firstHeaderRow="1" firstDataRow="1" firstDataCol="1"/>
  <pivotFields count="2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0" subtotal="count" baseField="0" baseItem="0"/>
  </dataFields>
  <chartFormats count="5">
    <chartFormat chart="6" format="2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2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403958413">
        <x15:pivotRow count="1">
          <x15:c>
            <x15:v>42</x15:v>
          </x15:c>
        </x15:pivotRow>
        <x15:pivotRow count="1">
          <x15:c>
            <x15:v>147</x15:v>
          </x15:c>
        </x15:pivotRow>
        <x15:pivotRow count="1">
          <x15:c>
            <x15:v>33</x15:v>
          </x15:c>
        </x15:pivotRow>
        <x15:pivotRow count="1">
          <x15:c>
            <x15:v>222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formatting.xlsx!Salary__2">
        <x15:activeTabTopLevelEntity name="[Salary_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DD5CC-4AEC-4592-B866-8C1519E67CD2}" name="PivotChartTable3" cacheId="29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chartFormat="6">
  <location ref="A1:F6" firstHeaderRow="1" firstDataRow="5" firstDataCol="1"/>
  <pivotFields count="5">
    <pivotField dataField="1" showAll="0"/>
    <pivotField axis="axisCol" allDrilled="1" showAll="0" dataSourceSort="1" defaultAttributeDrillState="1">
      <items count="1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axis="axisCol" allDrilled="1" showAll="0" dataSourceSort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t="default"/>
      </items>
    </pivotField>
    <pivotField axis="axisCol" allDrilled="1" showAll="0" dataSourceSort="1">
      <items count="5">
        <item x="0" e="0"/>
        <item x="1" e="0"/>
        <item x="2" e="0"/>
        <item x="3" e="0"/>
        <item t="default"/>
      </items>
    </pivotField>
    <pivotField axis="axisCol" allDrilled="1" showAll="0" dataSourceSort="1">
      <items count="5">
        <item x="0" e="0"/>
        <item x="1" e="0"/>
        <item x="2" e="0"/>
        <item x="3" e="0"/>
        <item t="default"/>
      </items>
    </pivotField>
  </pivotFields>
  <rowItems count="1">
    <i/>
  </rowItems>
  <colFields count="4">
    <field x="4"/>
    <field x="3"/>
    <field x="2"/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ary" fld="0" baseField="0" baseItem="0"/>
  </dataFields>
  <chartFormats count="19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4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4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4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4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4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4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4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4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4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4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4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4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4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4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4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4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4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4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4" format="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4" format="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4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4" format="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4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4" format="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4" format="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4" format="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4" format="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4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4" format="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4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4" format="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4" format="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4" format="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4" format="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4" format="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4" format="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4" format="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4" format="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4" format="1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4" format="1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4" format="1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4" format="1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4" format="1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4" format="1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4" format="1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4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4" format="1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4" format="1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4" format="1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4" format="1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4" format="1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4" format="1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4" format="1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4" format="1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4" format="1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4" format="1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4" format="1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4" format="1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4" format="1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4" format="1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4" format="1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4" format="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4" format="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4" format="1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4" format="1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4" format="1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4" format="1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4" format="1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4" format="1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4" format="1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4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4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4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4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4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4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4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4" format="1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4" format="1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4" format="1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4" format="1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4" format="1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4" format="1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4" format="1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4" format="1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4" format="1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4" format="1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4" format="1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4" format="1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4" format="1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4" format="1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4" format="1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4" format="1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4" format="1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4" format="1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4" format="1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4" format="1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4" format="1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4" format="1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4" format="1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4" format="1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4" format="1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4" format="1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4" format="1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4" format="1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4" format="1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4" format="1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4" format="1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4" format="1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4" format="1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4" format="1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4" format="1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4" format="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4" format="1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4" format="1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4" format="1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4" format="1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4" format="1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4" format="1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4" format="1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4" format="1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4" format="1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4" format="1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4" format="1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4" format="1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4" format="1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4" format="1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4" format="1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4" format="1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4" format="1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colHierarchiesUsage count="4">
    <colHierarchyUsage hierarchyUsage="11"/>
    <colHierarchyUsage hierarchyUsage="12"/>
    <colHierarchyUsage hierarchyUsage="13"/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" columnCount="5" cacheId="1256802825">
        <x15:pivotRow count="5">
          <x15:c>
            <x15:v>4431826.5999999996</x15:v>
          </x15:c>
          <x15:c>
            <x15:v>4197358.42</x15:v>
          </x15:c>
          <x15:c>
            <x15:v>4772762.0199999996</x15:v>
          </x15:c>
          <x15:c>
            <x15:v>2813883.98</x15:v>
          </x15:c>
          <x15:c>
            <x15:v>16215831.02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formatting.xlsx!Salary__2">
        <x15:activeTabTopLevelEntity name="[Salary_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DD5CC-4AEC-4592-B866-8C1519E67CD2}" name="PivotChartTable1" cacheId="30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chartFormat="4">
  <location ref="A1:B4" firstHeaderRow="1" firstDataRow="1" firstDataCol="1"/>
  <pivotFields count="2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ar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581145002">
        <x15:pivotRow count="1">
          <x15:c>
            <x15:v>8126364.5700000003</x15:v>
          </x15:c>
        </x15:pivotRow>
        <x15:pivotRow count="1">
          <x15:c>
            <x15:v>8089466.4500000002</x15:v>
          </x15:c>
        </x15:pivotRow>
        <x15:pivotRow count="1">
          <x15:c>
            <x15:v>16215831.02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formatting.xlsx!Salary__2">
        <x15:activeTabTopLevelEntity name="[Salary_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AD7BC-9D77-4D3F-867D-9D57F57B41A4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0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7">
        <item x="6"/>
        <item x="4"/>
        <item x="2"/>
        <item x="1"/>
        <item x="3"/>
        <item x="5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Work location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DD0017D-ED5B-49AB-BEA6-FE7A702825C8}" autoFormatId="16" applyNumberFormats="0" applyBorderFormats="0" applyFontFormats="0" applyPatternFormats="0" applyAlignmentFormats="0" applyWidthHeightFormats="0">
  <queryTableRefresh nextId="13" unboundColumnsRight="2">
    <queryTableFields count="11">
      <queryTableField id="1" name="Emp ID" tableColumnId="1"/>
      <queryTableField id="2" name="Name" tableColumnId="2"/>
      <queryTableField id="3" name="Gender" tableColumnId="3"/>
      <queryTableField id="4" name="Department" tableColumnId="4"/>
      <queryTableField id="5" name="Salary" tableColumnId="5"/>
      <queryTableField id="6" name="Start Date" tableColumnId="6"/>
      <queryTableField id="7" name="FTE" tableColumnId="7"/>
      <queryTableField id="8" name="Employee type" tableColumnId="8"/>
      <queryTableField id="9" name="Work location" tableColumnId="9"/>
      <queryTableField id="10" dataBound="0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FB9096C-14F6-462D-8B78-DE7C980709C7}" autoFormatId="16" applyNumberFormats="0" applyBorderFormats="0" applyFontFormats="0" applyPatternFormats="0" applyAlignmentFormats="0" applyWidthHeightFormats="0">
  <queryTableRefresh nextId="10">
    <queryTableFields count="9">
      <queryTableField id="1" name="Emp ID" tableColumnId="1"/>
      <queryTableField id="2" name="Name" tableColumnId="2"/>
      <queryTableField id="3" name="Gender" tableColumnId="3"/>
      <queryTableField id="4" name="Department" tableColumnId="4"/>
      <queryTableField id="5" name="Salary" tableColumnId="5"/>
      <queryTableField id="6" name="Start Date" tableColumnId="6"/>
      <queryTableField id="7" name="FTE" tableColumnId="7"/>
      <queryTableField id="8" name="Employee type" tableColumnId="8"/>
      <queryTableField id="9" name="Work loca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FD3CFD-B870-44B7-A5D0-D61DFC4DDC1F}" autoFormatId="16" applyNumberFormats="0" applyBorderFormats="0" applyFontFormats="0" applyPatternFormats="0" applyAlignmentFormats="0" applyWidthHeightFormats="0">
  <queryTableRefresh nextId="10">
    <queryTableFields count="9">
      <queryTableField id="1" name="Emp ID" tableColumnId="1"/>
      <queryTableField id="2" name="Name" tableColumnId="2"/>
      <queryTableField id="3" name="Gender" tableColumnId="3"/>
      <queryTableField id="4" name="Department" tableColumnId="4"/>
      <queryTableField id="5" name="Salary" tableColumnId="5"/>
      <queryTableField id="6" name="Start Date" tableColumnId="6"/>
      <queryTableField id="7" name="FTE" tableColumnId="7"/>
      <queryTableField id="8" name="Employee type" tableColumnId="8"/>
      <queryTableField id="9" name="Work loca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AF9269-0EE4-46D4-BF2A-E50FC7F1B40E}" name="Salary__2" displayName="Salary__2" ref="A1:K223" tableType="queryTable" totalsRowShown="0" headerRowDxfId="30" dataDxfId="29">
  <autoFilter ref="A1:K223" xr:uid="{1AAF9269-0EE4-46D4-BF2A-E50FC7F1B40E}"/>
  <sortState xmlns:xlrd2="http://schemas.microsoft.com/office/spreadsheetml/2017/richdata2" ref="A2:J223">
    <sortCondition ref="A2:A223"/>
  </sortState>
  <tableColumns count="11">
    <tableColumn id="1" xr3:uid="{F85FA1E1-EA7B-46D4-9533-3CA455B8F503}" uniqueName="1" name="Emp ID" queryTableFieldId="1" dataDxfId="28"/>
    <tableColumn id="2" xr3:uid="{928B1E95-4FC7-4DAD-8E54-C19203BBE635}" uniqueName="2" name="Name" queryTableFieldId="2" dataDxfId="27"/>
    <tableColumn id="3" xr3:uid="{B9DB1F07-E1A4-4C61-ABCE-4809528ACA8C}" uniqueName="3" name="Gender" queryTableFieldId="3" dataDxfId="26"/>
    <tableColumn id="4" xr3:uid="{A90DCD16-4866-43EA-83B0-6AF277B596BD}" uniqueName="4" name="Department" queryTableFieldId="4" dataDxfId="25"/>
    <tableColumn id="5" xr3:uid="{E0C0CD3B-5742-460A-AE1D-45972BC009DB}" uniqueName="5" name="Salary" queryTableFieldId="5" dataDxfId="24"/>
    <tableColumn id="6" xr3:uid="{A8F812A4-6DC3-47D4-8CC7-6A00F018B713}" uniqueName="6" name="Start Date" queryTableFieldId="6" dataDxfId="4"/>
    <tableColumn id="7" xr3:uid="{3CB3E139-B10D-4296-B22D-B6C46AADEF62}" uniqueName="7" name="FTE" queryTableFieldId="7" dataDxfId="23"/>
    <tableColumn id="8" xr3:uid="{00B8CE79-886E-43D5-88D0-88F22020D884}" uniqueName="8" name="Employee type" queryTableFieldId="8" dataDxfId="22"/>
    <tableColumn id="9" xr3:uid="{2C0EDF1C-9FF4-4FC9-B750-9EA63EE14E58}" uniqueName="9" name="Work location" queryTableFieldId="9" dataDxfId="21"/>
    <tableColumn id="10" xr3:uid="{D4CC4C27-AE8A-4C56-8EA1-5A91D52FDD97}" uniqueName="10" name="differ from average" queryTableFieldId="10" dataDxfId="5">
      <calculatedColumnFormula>Salary__2[[#This Row],[Salary]]-$O$16</calculatedColumnFormula>
    </tableColumn>
    <tableColumn id="11" xr3:uid="{F680644E-FFD1-4BB6-9829-A5229F42B800}" uniqueName="11" name="time" queryTableFieldId="11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541CD-F74A-445D-A54C-75DEF8D2C8D8}" name="Salary" displayName="Salary" ref="A1:I277" tableType="queryTable" totalsRowShown="0">
  <autoFilter ref="A1:I277" xr:uid="{1B8541CD-F74A-445D-A54C-75DEF8D2C8D8}"/>
  <tableColumns count="9">
    <tableColumn id="1" xr3:uid="{4747DDCC-66BC-4C7F-B78E-3B1F2624DD00}" uniqueName="1" name="Emp ID" queryTableFieldId="1" dataDxfId="19"/>
    <tableColumn id="2" xr3:uid="{FBE3CB5E-D0AC-4BA0-8452-618BEA930299}" uniqueName="2" name="Name" queryTableFieldId="2" dataDxfId="18"/>
    <tableColumn id="3" xr3:uid="{C77014EE-DB91-4061-97BB-40540100A960}" uniqueName="3" name="Gender" queryTableFieldId="3" dataDxfId="17"/>
    <tableColumn id="4" xr3:uid="{00092B65-ED10-4D9F-A86C-FBC050D47988}" uniqueName="4" name="Department" queryTableFieldId="4" dataDxfId="16"/>
    <tableColumn id="5" xr3:uid="{554F3350-29EC-47EB-B68D-8B3B8F3604C2}" uniqueName="5" name="Salary" queryTableFieldId="5"/>
    <tableColumn id="6" xr3:uid="{AE0D3B86-3B42-49A1-B366-3D1FA2B7AAC1}" uniqueName="6" name="Start Date" queryTableFieldId="6" dataDxfId="15"/>
    <tableColumn id="7" xr3:uid="{6BD7B8BF-F79D-4DD9-B0F9-A79071B087C7}" uniqueName="7" name="FTE" queryTableFieldId="7"/>
    <tableColumn id="8" xr3:uid="{3BE92133-7AFB-4A57-8264-42ED2263411B}" uniqueName="8" name="Employee type" queryTableFieldId="8" dataDxfId="14"/>
    <tableColumn id="9" xr3:uid="{B30D55AD-32D0-43CF-9667-F0FEDA2DB71A}" uniqueName="9" name="Work location" queryTableFieldId="9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002BD-8DD7-49C5-B585-DC55D9ED735D}" name="Staff" displayName="Staff" ref="A1:I277" tableType="queryTable" totalsRowShown="0">
  <autoFilter ref="A1:I277" xr:uid="{E4C002BD-8DD7-49C5-B585-DC55D9ED735D}"/>
  <tableColumns count="9">
    <tableColumn id="1" xr3:uid="{2132D1CF-3FF7-46F8-A69F-5AECEFC3D2A3}" uniqueName="1" name="Emp ID" queryTableFieldId="1" dataDxfId="12"/>
    <tableColumn id="2" xr3:uid="{1A358A73-3302-4E9D-B8BA-97E5FA5401C4}" uniqueName="2" name="Name" queryTableFieldId="2" dataDxfId="11"/>
    <tableColumn id="3" xr3:uid="{B9A9FF6B-B1C8-4895-B639-D411B9580150}" uniqueName="3" name="Gender" queryTableFieldId="3" dataDxfId="10"/>
    <tableColumn id="4" xr3:uid="{DEF76593-E8C5-441B-90EF-2191A3A1BC0D}" uniqueName="4" name="Department" queryTableFieldId="4" dataDxfId="9"/>
    <tableColumn id="5" xr3:uid="{5424525B-DDAE-4B3B-AD0D-4A323278C603}" uniqueName="5" name="Salary" queryTableFieldId="5"/>
    <tableColumn id="6" xr3:uid="{A2CC6945-79C0-495A-B9CD-56D4A865CCDC}" uniqueName="6" name="Start Date" queryTableFieldId="6" dataDxfId="8"/>
    <tableColumn id="7" xr3:uid="{C73833C6-1C4D-44CC-B194-F92DE6FC81D9}" uniqueName="7" name="FTE" queryTableFieldId="7"/>
    <tableColumn id="8" xr3:uid="{B8D940BA-B4D2-4700-9C61-08948F4B2025}" uniqueName="8" name="Employee type" queryTableFieldId="8" dataDxfId="7"/>
    <tableColumn id="9" xr3:uid="{20820540-0171-4640-843C-6AE05943BF01}" uniqueName="9" name="Work location" queryTableFieldId="9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8D67-7E0D-48F9-9C71-78845A13E85F}">
  <dimension ref="A3:B10"/>
  <sheetViews>
    <sheetView workbookViewId="0">
      <selection activeCell="A3" sqref="A3"/>
    </sheetView>
  </sheetViews>
  <sheetFormatPr defaultRowHeight="18.75" x14ac:dyDescent="0.3"/>
  <cols>
    <col min="1" max="1" width="20.19921875" bestFit="1" customWidth="1"/>
    <col min="2" max="2" width="18.8984375" bestFit="1" customWidth="1"/>
  </cols>
  <sheetData>
    <row r="3" spans="1:2" x14ac:dyDescent="0.3">
      <c r="A3" s="24" t="s">
        <v>8</v>
      </c>
      <c r="B3" t="s">
        <v>652</v>
      </c>
    </row>
    <row r="4" spans="1:2" x14ac:dyDescent="0.3">
      <c r="A4" t="s">
        <v>60</v>
      </c>
      <c r="B4" s="25">
        <v>24</v>
      </c>
    </row>
    <row r="5" spans="1:2" x14ac:dyDescent="0.3">
      <c r="A5" t="s">
        <v>66</v>
      </c>
      <c r="B5" s="25">
        <v>30</v>
      </c>
    </row>
    <row r="6" spans="1:2" x14ac:dyDescent="0.3">
      <c r="A6" t="s">
        <v>55</v>
      </c>
      <c r="B6" s="25">
        <v>26</v>
      </c>
    </row>
    <row r="7" spans="1:2" x14ac:dyDescent="0.3">
      <c r="A7" t="s">
        <v>30</v>
      </c>
      <c r="B7" s="25">
        <v>39</v>
      </c>
    </row>
    <row r="8" spans="1:2" x14ac:dyDescent="0.3">
      <c r="A8" t="s">
        <v>14</v>
      </c>
      <c r="B8" s="25">
        <v>58</v>
      </c>
    </row>
    <row r="9" spans="1:2" x14ac:dyDescent="0.3">
      <c r="A9" t="s">
        <v>19</v>
      </c>
      <c r="B9" s="25">
        <v>22</v>
      </c>
    </row>
    <row r="10" spans="1:2" x14ac:dyDescent="0.3">
      <c r="A10" t="s">
        <v>35</v>
      </c>
      <c r="B10" s="25">
        <v>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EFEA-45AD-4993-9617-A028AC1AD3E0}">
  <dimension ref="A1"/>
  <sheetViews>
    <sheetView workbookViewId="0">
      <selection activeCell="O20" sqref="O20"/>
    </sheetView>
  </sheetViews>
  <sheetFormatPr defaultRowHeight="18.75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5C09-8476-4B71-8821-EA8EC426399A}">
  <dimension ref="A1:X223"/>
  <sheetViews>
    <sheetView tabSelected="1" topLeftCell="H6" workbookViewId="0">
      <selection activeCell="V18" sqref="V18"/>
    </sheetView>
  </sheetViews>
  <sheetFormatPr defaultRowHeight="18.75" x14ac:dyDescent="0.3"/>
  <cols>
    <col min="1" max="1" width="9.59765625" style="8" bestFit="1" customWidth="1"/>
    <col min="2" max="2" width="25.296875" style="8" bestFit="1" customWidth="1"/>
    <col min="3" max="3" width="10" style="8" bestFit="1" customWidth="1"/>
    <col min="4" max="4" width="22.19921875" style="8" bestFit="1" customWidth="1"/>
    <col min="5" max="5" width="11.296875" style="12" bestFit="1" customWidth="1"/>
    <col min="6" max="6" width="12.19921875" style="7" bestFit="1" customWidth="1"/>
    <col min="7" max="7" width="6.8984375" style="8" bestFit="1" customWidth="1"/>
    <col min="8" max="8" width="14.296875" style="8" bestFit="1" customWidth="1"/>
    <col min="9" max="9" width="20.19921875" style="8" bestFit="1" customWidth="1"/>
    <col min="10" max="10" width="26.69921875" bestFit="1" customWidth="1"/>
    <col min="11" max="11" width="11" style="8" bestFit="1" customWidth="1"/>
    <col min="12" max="12" width="14.5" style="8" bestFit="1" customWidth="1"/>
    <col min="13" max="13" width="8.796875" style="8"/>
    <col min="14" max="14" width="11.59765625" style="8" bestFit="1" customWidth="1"/>
    <col min="15" max="15" width="7.796875" style="8" bestFit="1" customWidth="1"/>
    <col min="16" max="16" width="9.59765625" style="8" bestFit="1" customWidth="1"/>
    <col min="17" max="17" width="9.09765625" style="8" customWidth="1"/>
    <col min="18" max="16384" width="8.796875" style="8"/>
  </cols>
  <sheetData>
    <row r="1" spans="1:22" x14ac:dyDescent="0.3">
      <c r="A1" s="8" t="s">
        <v>0</v>
      </c>
      <c r="B1" s="8" t="s">
        <v>1</v>
      </c>
      <c r="C1" s="8" t="s">
        <v>2</v>
      </c>
      <c r="D1" s="8" t="s">
        <v>3</v>
      </c>
      <c r="E1" s="12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23" t="s">
        <v>651</v>
      </c>
      <c r="K1" s="8" t="s">
        <v>641</v>
      </c>
    </row>
    <row r="2" spans="1:22" x14ac:dyDescent="0.3">
      <c r="A2" s="8" t="s">
        <v>475</v>
      </c>
      <c r="B2" s="8" t="s">
        <v>476</v>
      </c>
      <c r="C2" s="8" t="s">
        <v>17</v>
      </c>
      <c r="D2" s="8" t="s">
        <v>25</v>
      </c>
      <c r="E2" s="12">
        <v>96135.75</v>
      </c>
      <c r="F2" s="7">
        <v>44025</v>
      </c>
      <c r="G2" s="8">
        <v>0.3</v>
      </c>
      <c r="H2" s="8" t="s">
        <v>13</v>
      </c>
      <c r="I2" s="8" t="s">
        <v>35</v>
      </c>
      <c r="J2" s="23">
        <f>Salary__2[[#This Row],[Salary]]-$O$16</f>
        <v>23091.466126126164</v>
      </c>
      <c r="K2" s="13">
        <v>9.930555555555555E-2</v>
      </c>
    </row>
    <row r="3" spans="1:22" x14ac:dyDescent="0.3">
      <c r="A3" s="8" t="s">
        <v>241</v>
      </c>
      <c r="B3" s="8" t="s">
        <v>577</v>
      </c>
      <c r="C3" s="8" t="s">
        <v>17</v>
      </c>
      <c r="D3" s="8" t="s">
        <v>18</v>
      </c>
      <c r="E3" s="12">
        <v>70649.460000000006</v>
      </c>
      <c r="F3" s="7">
        <v>43843</v>
      </c>
      <c r="G3" s="8">
        <v>1</v>
      </c>
      <c r="H3" s="8" t="s">
        <v>13</v>
      </c>
      <c r="I3" s="8" t="s">
        <v>30</v>
      </c>
      <c r="J3" s="23">
        <f>Salary__2[[#This Row],[Salary]]-$O$16</f>
        <v>-2394.8238738738291</v>
      </c>
      <c r="K3" s="13">
        <v>8.2638888888888887E-2</v>
      </c>
    </row>
    <row r="4" spans="1:22" x14ac:dyDescent="0.3">
      <c r="A4" s="8" t="s">
        <v>457</v>
      </c>
      <c r="B4" s="8" t="s">
        <v>219</v>
      </c>
      <c r="C4" s="8" t="s">
        <v>17</v>
      </c>
      <c r="D4" s="8" t="s">
        <v>18</v>
      </c>
      <c r="E4" s="12">
        <v>80695.740000000005</v>
      </c>
      <c r="F4" s="7">
        <v>43360</v>
      </c>
      <c r="G4" s="8">
        <v>1</v>
      </c>
      <c r="H4" s="8" t="s">
        <v>13</v>
      </c>
      <c r="I4" s="8" t="s">
        <v>55</v>
      </c>
      <c r="J4" s="23">
        <f>Salary__2[[#This Row],[Salary]]-$O$16</f>
        <v>7651.4561261261697</v>
      </c>
      <c r="K4" s="13">
        <v>0.53125</v>
      </c>
    </row>
    <row r="5" spans="1:22" x14ac:dyDescent="0.3">
      <c r="A5" s="8" t="s">
        <v>9</v>
      </c>
      <c r="B5" s="8" t="s">
        <v>10</v>
      </c>
      <c r="C5" s="8" t="s">
        <v>11</v>
      </c>
      <c r="D5" s="8" t="s">
        <v>637</v>
      </c>
      <c r="E5" s="12">
        <v>120000</v>
      </c>
      <c r="F5" s="7">
        <v>43416</v>
      </c>
      <c r="G5" s="8">
        <v>1</v>
      </c>
      <c r="H5" s="8" t="s">
        <v>13</v>
      </c>
      <c r="I5" s="8" t="s">
        <v>14</v>
      </c>
      <c r="J5" s="23">
        <f>Salary__2[[#This Row],[Salary]]-$O$16</f>
        <v>46955.716126126164</v>
      </c>
      <c r="K5" s="13">
        <v>0.36666666666666664</v>
      </c>
    </row>
    <row r="6" spans="1:22" x14ac:dyDescent="0.3">
      <c r="A6" s="8" t="s">
        <v>489</v>
      </c>
      <c r="B6" s="8" t="s">
        <v>490</v>
      </c>
      <c r="C6" s="8" t="s">
        <v>17</v>
      </c>
      <c r="D6" s="8" t="s">
        <v>40</v>
      </c>
      <c r="E6" s="12">
        <v>67905.8</v>
      </c>
      <c r="F6" s="7">
        <v>44194</v>
      </c>
      <c r="G6" s="8">
        <v>1</v>
      </c>
      <c r="H6" s="8" t="s">
        <v>13</v>
      </c>
      <c r="I6" s="8" t="s">
        <v>14</v>
      </c>
      <c r="J6" s="23">
        <f>Salary__2[[#This Row],[Salary]]-$O$16</f>
        <v>-5138.4838738738326</v>
      </c>
      <c r="K6" s="13">
        <v>9.930555555555555E-2</v>
      </c>
      <c r="R6" s="8">
        <v>2700</v>
      </c>
    </row>
    <row r="7" spans="1:22" x14ac:dyDescent="0.3">
      <c r="A7" s="8" t="s">
        <v>44</v>
      </c>
      <c r="B7" s="8" t="s">
        <v>45</v>
      </c>
      <c r="C7" s="8" t="s">
        <v>17</v>
      </c>
      <c r="D7" s="8" t="s">
        <v>18</v>
      </c>
      <c r="E7" s="12">
        <v>68980.52</v>
      </c>
      <c r="F7" s="7">
        <v>43494</v>
      </c>
      <c r="G7" s="8">
        <v>0.8</v>
      </c>
      <c r="H7" s="8" t="s">
        <v>13</v>
      </c>
      <c r="I7" s="8" t="s">
        <v>14</v>
      </c>
      <c r="J7" s="23">
        <f>Salary__2[[#This Row],[Salary]]-$O$16</f>
        <v>-4063.7638738738315</v>
      </c>
      <c r="K7" s="13">
        <v>8.2638888888888887E-2</v>
      </c>
      <c r="R7" s="8">
        <v>13000</v>
      </c>
    </row>
    <row r="8" spans="1:22" x14ac:dyDescent="0.3">
      <c r="A8" s="8" t="s">
        <v>174</v>
      </c>
      <c r="B8" s="8" t="s">
        <v>569</v>
      </c>
      <c r="C8" s="8" t="s">
        <v>17</v>
      </c>
      <c r="D8" s="8" t="s">
        <v>99</v>
      </c>
      <c r="E8" s="12">
        <v>63705.4</v>
      </c>
      <c r="F8" s="7">
        <v>43682</v>
      </c>
      <c r="G8" s="8">
        <v>1</v>
      </c>
      <c r="H8" s="8" t="s">
        <v>13</v>
      </c>
      <c r="I8" s="8" t="s">
        <v>30</v>
      </c>
      <c r="J8" s="23">
        <f>Salary__2[[#This Row],[Salary]]-$O$16</f>
        <v>-9338.8838738738341</v>
      </c>
      <c r="K8" s="13">
        <v>0.53125</v>
      </c>
      <c r="N8" s="8" t="s">
        <v>638</v>
      </c>
    </row>
    <row r="9" spans="1:22" x14ac:dyDescent="0.3">
      <c r="A9" s="8" t="s">
        <v>379</v>
      </c>
      <c r="B9" s="8" t="s">
        <v>380</v>
      </c>
      <c r="C9" s="8" t="s">
        <v>17</v>
      </c>
      <c r="D9" s="8" t="s">
        <v>77</v>
      </c>
      <c r="E9" s="12">
        <v>114177.23</v>
      </c>
      <c r="F9" s="7">
        <v>43908</v>
      </c>
      <c r="G9" s="8">
        <v>1</v>
      </c>
      <c r="H9" s="8" t="s">
        <v>13</v>
      </c>
      <c r="I9" s="8" t="s">
        <v>35</v>
      </c>
      <c r="J9" s="23">
        <f>Salary__2[[#This Row],[Salary]]-$O$16</f>
        <v>41132.94612612616</v>
      </c>
      <c r="K9" s="13">
        <v>0.36666666666666664</v>
      </c>
      <c r="R9" s="8">
        <v>678</v>
      </c>
    </row>
    <row r="10" spans="1:22" x14ac:dyDescent="0.3">
      <c r="A10" s="8" t="s">
        <v>450</v>
      </c>
      <c r="B10" s="8" t="s">
        <v>451</v>
      </c>
      <c r="C10" s="8" t="s">
        <v>11</v>
      </c>
      <c r="D10" s="8" t="s">
        <v>99</v>
      </c>
      <c r="E10" s="12">
        <v>29774.76</v>
      </c>
      <c r="F10" s="7">
        <v>44105</v>
      </c>
      <c r="G10" s="8">
        <v>1</v>
      </c>
      <c r="H10" s="8" t="s">
        <v>13</v>
      </c>
      <c r="I10" s="8" t="s">
        <v>35</v>
      </c>
      <c r="J10" s="23">
        <f>Salary__2[[#This Row],[Salary]]-$O$16</f>
        <v>-43269.523873873841</v>
      </c>
      <c r="K10" s="13">
        <v>9.930555555555555E-2</v>
      </c>
      <c r="N10" s="8" t="s">
        <v>639</v>
      </c>
      <c r="R10" s="8">
        <v>500</v>
      </c>
    </row>
    <row r="11" spans="1:22" x14ac:dyDescent="0.3">
      <c r="A11" s="8" t="s">
        <v>75</v>
      </c>
      <c r="B11" s="8" t="s">
        <v>76</v>
      </c>
      <c r="C11" s="8" t="s">
        <v>11</v>
      </c>
      <c r="D11" s="8" t="s">
        <v>77</v>
      </c>
      <c r="E11" s="12">
        <v>52963.65</v>
      </c>
      <c r="F11" s="7">
        <v>44288</v>
      </c>
      <c r="G11" s="8">
        <v>0.3</v>
      </c>
      <c r="H11" s="8" t="s">
        <v>13</v>
      </c>
      <c r="I11" s="8" t="s">
        <v>55</v>
      </c>
      <c r="J11" s="23">
        <f>Salary__2[[#This Row],[Salary]]-$O$16</f>
        <v>-20080.633873873834</v>
      </c>
      <c r="K11" s="13">
        <v>8.2638888888888887E-2</v>
      </c>
      <c r="R11" s="8">
        <v>2060</v>
      </c>
      <c r="V11" s="8">
        <f>SUM(R6:R13)</f>
        <v>21438</v>
      </c>
    </row>
    <row r="12" spans="1:22" x14ac:dyDescent="0.3">
      <c r="A12" s="8" t="s">
        <v>73</v>
      </c>
      <c r="B12" s="8" t="s">
        <v>557</v>
      </c>
      <c r="C12" s="8" t="s">
        <v>11</v>
      </c>
      <c r="D12" s="8" t="s">
        <v>74</v>
      </c>
      <c r="E12" s="12">
        <v>50310.09</v>
      </c>
      <c r="F12" s="7">
        <v>44285</v>
      </c>
      <c r="G12" s="8">
        <v>0.4</v>
      </c>
      <c r="H12" s="8" t="s">
        <v>13</v>
      </c>
      <c r="I12" s="8" t="s">
        <v>30</v>
      </c>
      <c r="J12" s="23">
        <f>Salary__2[[#This Row],[Salary]]-$O$16</f>
        <v>-22734.193873873839</v>
      </c>
      <c r="K12" s="13">
        <v>0.53125</v>
      </c>
      <c r="R12" s="8">
        <v>500</v>
      </c>
      <c r="V12" s="8">
        <v>15000</v>
      </c>
    </row>
    <row r="13" spans="1:22" x14ac:dyDescent="0.3">
      <c r="A13" s="8" t="s">
        <v>227</v>
      </c>
      <c r="B13" s="8" t="s">
        <v>228</v>
      </c>
      <c r="C13" s="8" t="s">
        <v>17</v>
      </c>
      <c r="D13" s="8" t="s">
        <v>43</v>
      </c>
      <c r="E13" s="12">
        <v>84309.95</v>
      </c>
      <c r="F13" s="7">
        <v>44501</v>
      </c>
      <c r="G13" s="8">
        <v>1</v>
      </c>
      <c r="H13" s="8" t="s">
        <v>13</v>
      </c>
      <c r="I13" s="8" t="s">
        <v>14</v>
      </c>
      <c r="J13" s="23">
        <f>Salary__2[[#This Row],[Salary]]-$O$16</f>
        <v>11265.666126126162</v>
      </c>
      <c r="K13" s="13">
        <v>0.36666666666666664</v>
      </c>
      <c r="L13" s="14"/>
      <c r="R13" s="8">
        <v>2000</v>
      </c>
      <c r="V13" s="8">
        <v>5000</v>
      </c>
    </row>
    <row r="14" spans="1:22" x14ac:dyDescent="0.3">
      <c r="A14" s="8" t="s">
        <v>447</v>
      </c>
      <c r="B14" s="8" t="s">
        <v>613</v>
      </c>
      <c r="C14" s="8" t="s">
        <v>11</v>
      </c>
      <c r="D14" s="8" t="s">
        <v>77</v>
      </c>
      <c r="E14" s="12">
        <v>35936.31</v>
      </c>
      <c r="F14" s="7">
        <v>43241</v>
      </c>
      <c r="G14" s="8">
        <v>1</v>
      </c>
      <c r="H14" s="8" t="s">
        <v>13</v>
      </c>
      <c r="I14" s="8" t="s">
        <v>66</v>
      </c>
      <c r="J14" s="23">
        <f>Salary__2[[#This Row],[Salary]]-$O$16</f>
        <v>-37107.973873873838</v>
      </c>
      <c r="K14" s="13">
        <v>9.930555555555555E-2</v>
      </c>
      <c r="L14" s="14">
        <v>120000</v>
      </c>
    </row>
    <row r="15" spans="1:22" x14ac:dyDescent="0.3">
      <c r="A15" s="8" t="s">
        <v>213</v>
      </c>
      <c r="B15" s="8" t="s">
        <v>214</v>
      </c>
      <c r="C15" s="8" t="s">
        <v>11</v>
      </c>
      <c r="D15" s="8" t="s">
        <v>637</v>
      </c>
      <c r="E15" s="12">
        <v>112645.99</v>
      </c>
      <c r="F15" s="7">
        <v>43759</v>
      </c>
      <c r="G15" s="8">
        <v>0.6</v>
      </c>
      <c r="H15" s="8" t="s">
        <v>13</v>
      </c>
      <c r="I15" s="8" t="s">
        <v>19</v>
      </c>
      <c r="J15" s="23">
        <f>Salary__2[[#This Row],[Salary]]-$O$16</f>
        <v>39601.70612612617</v>
      </c>
      <c r="K15" s="13">
        <v>8.2638888888888887E-2</v>
      </c>
    </row>
    <row r="16" spans="1:22" x14ac:dyDescent="0.3">
      <c r="A16" s="8" t="s">
        <v>229</v>
      </c>
      <c r="B16" s="8" t="s">
        <v>230</v>
      </c>
      <c r="C16" s="8" t="s">
        <v>11</v>
      </c>
      <c r="D16" s="8" t="s">
        <v>77</v>
      </c>
      <c r="E16" s="12">
        <v>91645.04</v>
      </c>
      <c r="F16" s="7">
        <v>44223</v>
      </c>
      <c r="G16" s="8">
        <v>1</v>
      </c>
      <c r="H16" s="8" t="s">
        <v>13</v>
      </c>
      <c r="I16" s="8" t="s">
        <v>60</v>
      </c>
      <c r="J16" s="23">
        <f>Salary__2[[#This Row],[Salary]]-$O$16</f>
        <v>18600.756126126158</v>
      </c>
      <c r="K16" s="13">
        <v>0.53125</v>
      </c>
      <c r="N16" s="8" t="s">
        <v>640</v>
      </c>
      <c r="O16" s="12">
        <f>AVERAGE(E:E)</f>
        <v>73044.283873873836</v>
      </c>
      <c r="V16" s="8">
        <f>SUM(V11:V13)</f>
        <v>41438</v>
      </c>
    </row>
    <row r="17" spans="1:22" x14ac:dyDescent="0.3">
      <c r="A17" s="8" t="s">
        <v>411</v>
      </c>
      <c r="B17" s="8" t="s">
        <v>412</v>
      </c>
      <c r="C17" s="8" t="s">
        <v>17</v>
      </c>
      <c r="D17" s="8" t="s">
        <v>33</v>
      </c>
      <c r="E17" s="12">
        <v>97105.19</v>
      </c>
      <c r="F17" s="7">
        <v>44425</v>
      </c>
      <c r="G17" s="8">
        <v>1</v>
      </c>
      <c r="H17" s="8" t="s">
        <v>13</v>
      </c>
      <c r="I17" s="8" t="s">
        <v>55</v>
      </c>
      <c r="J17" s="23">
        <f>Salary__2[[#This Row],[Salary]]-$O$16</f>
        <v>24060.906126126167</v>
      </c>
      <c r="K17" s="13">
        <v>0.36666666666666664</v>
      </c>
      <c r="V17" s="8">
        <v>1000</v>
      </c>
    </row>
    <row r="18" spans="1:22" x14ac:dyDescent="0.3">
      <c r="A18" s="8" t="s">
        <v>526</v>
      </c>
      <c r="B18" s="8" t="s">
        <v>527</v>
      </c>
      <c r="C18" s="8" t="s">
        <v>11</v>
      </c>
      <c r="D18" s="8" t="s">
        <v>22</v>
      </c>
      <c r="E18" s="12">
        <v>84742.86</v>
      </c>
      <c r="F18" s="7">
        <v>44098</v>
      </c>
      <c r="G18" s="8">
        <v>1</v>
      </c>
      <c r="H18" s="8" t="s">
        <v>13</v>
      </c>
      <c r="I18" s="8" t="s">
        <v>60</v>
      </c>
      <c r="J18" s="23">
        <f>Salary__2[[#This Row],[Salary]]-$O$16</f>
        <v>11698.576126126165</v>
      </c>
      <c r="K18" s="13">
        <v>9.930555555555555E-2</v>
      </c>
    </row>
    <row r="19" spans="1:22" x14ac:dyDescent="0.3">
      <c r="A19" s="8" t="s">
        <v>190</v>
      </c>
      <c r="B19" s="8" t="s">
        <v>191</v>
      </c>
      <c r="C19" s="8" t="s">
        <v>11</v>
      </c>
      <c r="D19" s="8" t="s">
        <v>18</v>
      </c>
      <c r="E19" s="12">
        <v>85918.61</v>
      </c>
      <c r="F19" s="7">
        <v>43136</v>
      </c>
      <c r="G19" s="8">
        <v>1</v>
      </c>
      <c r="H19" s="8" t="s">
        <v>13</v>
      </c>
      <c r="I19" s="8" t="s">
        <v>55</v>
      </c>
      <c r="J19" s="23">
        <f>Salary__2[[#This Row],[Salary]]-$O$16</f>
        <v>12874.326126126165</v>
      </c>
      <c r="K19" s="13">
        <v>8.2638888888888887E-2</v>
      </c>
      <c r="V19" s="8">
        <f>SUM(V16:V17)</f>
        <v>42438</v>
      </c>
    </row>
    <row r="20" spans="1:22" x14ac:dyDescent="0.3">
      <c r="A20" s="8" t="s">
        <v>458</v>
      </c>
      <c r="B20" s="8" t="s">
        <v>459</v>
      </c>
      <c r="C20" s="8" t="s">
        <v>17</v>
      </c>
      <c r="D20" s="8" t="s">
        <v>93</v>
      </c>
      <c r="E20" s="12">
        <v>72502.61</v>
      </c>
      <c r="F20" s="7">
        <v>44235</v>
      </c>
      <c r="G20" s="8">
        <v>1</v>
      </c>
      <c r="H20" s="8" t="s">
        <v>13</v>
      </c>
      <c r="I20" s="8" t="s">
        <v>35</v>
      </c>
      <c r="J20" s="23">
        <f>Salary__2[[#This Row],[Salary]]-$O$16</f>
        <v>-541.67387387383496</v>
      </c>
      <c r="K20" s="13">
        <v>0.53125</v>
      </c>
    </row>
    <row r="21" spans="1:22" x14ac:dyDescent="0.3">
      <c r="A21" s="8" t="s">
        <v>504</v>
      </c>
      <c r="B21" s="8" t="s">
        <v>623</v>
      </c>
      <c r="C21" s="8" t="s">
        <v>11</v>
      </c>
      <c r="D21" s="8" t="s">
        <v>22</v>
      </c>
      <c r="E21" s="12">
        <v>77096.05</v>
      </c>
      <c r="F21" s="7">
        <v>43217</v>
      </c>
      <c r="G21" s="8">
        <v>1</v>
      </c>
      <c r="H21" s="8" t="s">
        <v>13</v>
      </c>
      <c r="I21" s="8" t="s">
        <v>66</v>
      </c>
      <c r="J21" s="23">
        <f>Salary__2[[#This Row],[Salary]]-$O$16</f>
        <v>4051.7661261261674</v>
      </c>
      <c r="K21" s="13">
        <v>0.36666666666666664</v>
      </c>
      <c r="Q21" s="16">
        <v>-3444</v>
      </c>
    </row>
    <row r="22" spans="1:22" x14ac:dyDescent="0.3">
      <c r="A22" s="8" t="s">
        <v>110</v>
      </c>
      <c r="B22" s="8" t="s">
        <v>111</v>
      </c>
      <c r="C22" s="8" t="s">
        <v>17</v>
      </c>
      <c r="D22" s="8" t="s">
        <v>43</v>
      </c>
      <c r="E22" s="12">
        <v>50449.46</v>
      </c>
      <c r="F22" s="7">
        <v>43418</v>
      </c>
      <c r="G22" s="8">
        <v>0.8</v>
      </c>
      <c r="H22" s="8" t="s">
        <v>13</v>
      </c>
      <c r="I22" s="8" t="s">
        <v>60</v>
      </c>
      <c r="J22" s="23">
        <f>Salary__2[[#This Row],[Salary]]-$O$16</f>
        <v>-22594.823873873836</v>
      </c>
      <c r="K22" s="13">
        <v>0.36666666666666664</v>
      </c>
      <c r="Q22" s="16">
        <v>0</v>
      </c>
    </row>
    <row r="23" spans="1:22" x14ac:dyDescent="0.3">
      <c r="A23" s="8" t="s">
        <v>507</v>
      </c>
      <c r="B23" s="8" t="s">
        <v>625</v>
      </c>
      <c r="C23" s="8" t="s">
        <v>11</v>
      </c>
      <c r="D23" s="8" t="s">
        <v>74</v>
      </c>
      <c r="E23" s="12">
        <v>48525.71</v>
      </c>
      <c r="F23" s="7">
        <v>43264</v>
      </c>
      <c r="G23" s="8">
        <v>1</v>
      </c>
      <c r="H23" s="8" t="s">
        <v>13</v>
      </c>
      <c r="I23" s="8" t="s">
        <v>30</v>
      </c>
      <c r="J23" s="23">
        <f>Salary__2[[#This Row],[Salary]]-$O$16</f>
        <v>-24518.573873873836</v>
      </c>
      <c r="K23" s="13">
        <v>9.930555555555555E-2</v>
      </c>
      <c r="Q23" s="16">
        <v>676</v>
      </c>
    </row>
    <row r="24" spans="1:22" x14ac:dyDescent="0.3">
      <c r="A24" s="8" t="s">
        <v>302</v>
      </c>
      <c r="B24" s="8" t="s">
        <v>303</v>
      </c>
      <c r="C24" s="8" t="s">
        <v>11</v>
      </c>
      <c r="D24" s="8" t="s">
        <v>77</v>
      </c>
      <c r="E24" s="12">
        <v>36547.58</v>
      </c>
      <c r="F24" s="7">
        <v>43416</v>
      </c>
      <c r="G24" s="8">
        <v>1</v>
      </c>
      <c r="H24" s="8" t="s">
        <v>13</v>
      </c>
      <c r="I24" s="8" t="s">
        <v>14</v>
      </c>
      <c r="J24" s="23">
        <f>Salary__2[[#This Row],[Salary]]-$O$16</f>
        <v>-36496.703873873834</v>
      </c>
      <c r="K24" s="13">
        <v>8.2638888888888887E-2</v>
      </c>
    </row>
    <row r="25" spans="1:22" x14ac:dyDescent="0.3">
      <c r="A25" s="8" t="s">
        <v>261</v>
      </c>
      <c r="B25" s="8" t="s">
        <v>581</v>
      </c>
      <c r="C25" s="8" t="s">
        <v>11</v>
      </c>
      <c r="D25" s="8" t="s">
        <v>93</v>
      </c>
      <c r="E25" s="12">
        <v>115191.38</v>
      </c>
      <c r="F25" s="7">
        <v>44004</v>
      </c>
      <c r="G25" s="8">
        <v>1</v>
      </c>
      <c r="H25" s="8" t="s">
        <v>13</v>
      </c>
      <c r="I25" s="8" t="s">
        <v>30</v>
      </c>
      <c r="J25" s="23">
        <f>Salary__2[[#This Row],[Salary]]-$O$16</f>
        <v>42147.096126126169</v>
      </c>
      <c r="K25" s="13">
        <v>0.53125</v>
      </c>
    </row>
    <row r="26" spans="1:22" x14ac:dyDescent="0.3">
      <c r="A26" s="8" t="s">
        <v>398</v>
      </c>
      <c r="B26" s="8" t="s">
        <v>399</v>
      </c>
      <c r="C26" s="8" t="s">
        <v>17</v>
      </c>
      <c r="D26" s="8" t="s">
        <v>637</v>
      </c>
      <c r="E26" s="12">
        <v>58861.19</v>
      </c>
      <c r="F26" s="7">
        <v>43654</v>
      </c>
      <c r="G26" s="8">
        <v>1</v>
      </c>
      <c r="H26" s="8" t="s">
        <v>13</v>
      </c>
      <c r="I26" s="8" t="s">
        <v>55</v>
      </c>
      <c r="J26" s="23">
        <f>Salary__2[[#This Row],[Salary]]-$O$16</f>
        <v>-14183.093873873833</v>
      </c>
      <c r="K26" s="13">
        <v>0.36666666666666664</v>
      </c>
    </row>
    <row r="27" spans="1:22" x14ac:dyDescent="0.3">
      <c r="A27" s="8" t="s">
        <v>264</v>
      </c>
      <c r="B27" s="8" t="s">
        <v>265</v>
      </c>
      <c r="C27" s="8" t="s">
        <v>17</v>
      </c>
      <c r="D27" s="8" t="s">
        <v>37</v>
      </c>
      <c r="E27" s="12">
        <v>75974.990000000005</v>
      </c>
      <c r="F27" s="7">
        <v>44172</v>
      </c>
      <c r="G27" s="8">
        <v>1</v>
      </c>
      <c r="H27" s="8" t="s">
        <v>13</v>
      </c>
      <c r="I27" s="8" t="s">
        <v>14</v>
      </c>
      <c r="J27" s="23">
        <f>Salary__2[[#This Row],[Salary]]-$O$16</f>
        <v>2930.7061261261697</v>
      </c>
      <c r="K27" s="13">
        <v>8.2638888888888887E-2</v>
      </c>
      <c r="O27" s="8" t="s">
        <v>648</v>
      </c>
    </row>
    <row r="28" spans="1:22" x14ac:dyDescent="0.3">
      <c r="A28" s="8" t="s">
        <v>304</v>
      </c>
      <c r="B28" s="8" t="s">
        <v>589</v>
      </c>
      <c r="C28" s="8" t="s">
        <v>11</v>
      </c>
      <c r="D28" s="8" t="s">
        <v>77</v>
      </c>
      <c r="E28" s="12">
        <v>95954.02</v>
      </c>
      <c r="F28" s="7">
        <v>43567</v>
      </c>
      <c r="G28" s="8">
        <v>0.3</v>
      </c>
      <c r="H28" s="8" t="s">
        <v>13</v>
      </c>
      <c r="I28" s="8" t="s">
        <v>30</v>
      </c>
      <c r="J28" s="23">
        <f>Salary__2[[#This Row],[Salary]]-$O$16</f>
        <v>22909.736126126169</v>
      </c>
      <c r="K28" s="13">
        <v>0.53125</v>
      </c>
      <c r="O28" s="8" t="s">
        <v>649</v>
      </c>
    </row>
    <row r="29" spans="1:22" x14ac:dyDescent="0.3">
      <c r="A29" s="8" t="s">
        <v>147</v>
      </c>
      <c r="B29" s="8" t="s">
        <v>564</v>
      </c>
      <c r="C29" s="8" t="s">
        <v>17</v>
      </c>
      <c r="D29" s="8" t="s">
        <v>25</v>
      </c>
      <c r="E29" s="12">
        <v>102934.09</v>
      </c>
      <c r="F29" s="7">
        <v>44315</v>
      </c>
      <c r="G29" s="8">
        <v>1</v>
      </c>
      <c r="H29" s="8" t="s">
        <v>13</v>
      </c>
      <c r="I29" s="8" t="s">
        <v>30</v>
      </c>
      <c r="J29" s="23">
        <f>Salary__2[[#This Row],[Salary]]-$O$16</f>
        <v>29889.806126126161</v>
      </c>
      <c r="K29" s="13">
        <v>0.36666666666666664</v>
      </c>
      <c r="O29" s="8" t="s">
        <v>650</v>
      </c>
    </row>
    <row r="30" spans="1:22" x14ac:dyDescent="0.3">
      <c r="A30" s="8" t="s">
        <v>433</v>
      </c>
      <c r="B30" s="8" t="s">
        <v>434</v>
      </c>
      <c r="C30" s="8" t="s">
        <v>17</v>
      </c>
      <c r="D30" s="8" t="s">
        <v>80</v>
      </c>
      <c r="E30" s="12">
        <v>41934.71</v>
      </c>
      <c r="F30" s="7">
        <v>43780</v>
      </c>
      <c r="G30" s="8">
        <v>1</v>
      </c>
      <c r="H30" s="8" t="s">
        <v>13</v>
      </c>
      <c r="I30" s="8" t="s">
        <v>14</v>
      </c>
      <c r="J30" s="23">
        <f>Salary__2[[#This Row],[Salary]]-$O$16</f>
        <v>-31109.573873873836</v>
      </c>
      <c r="K30" s="13">
        <v>9.930555555555555E-2</v>
      </c>
    </row>
    <row r="31" spans="1:22" x14ac:dyDescent="0.3">
      <c r="A31" s="8" t="s">
        <v>91</v>
      </c>
      <c r="B31" s="8" t="s">
        <v>92</v>
      </c>
      <c r="C31" s="8" t="s">
        <v>11</v>
      </c>
      <c r="D31" s="8" t="s">
        <v>93</v>
      </c>
      <c r="E31" s="12">
        <v>104335.03999999999</v>
      </c>
      <c r="F31" s="7">
        <v>43874</v>
      </c>
      <c r="G31" s="8">
        <v>1</v>
      </c>
      <c r="H31" s="8" t="s">
        <v>13</v>
      </c>
      <c r="I31" s="8" t="s">
        <v>55</v>
      </c>
      <c r="J31" s="23">
        <f>Salary__2[[#This Row],[Salary]]-$O$16</f>
        <v>31290.756126126158</v>
      </c>
      <c r="K31" s="13">
        <v>8.2638888888888887E-2</v>
      </c>
    </row>
    <row r="32" spans="1:22" x14ac:dyDescent="0.3">
      <c r="A32" s="8" t="s">
        <v>336</v>
      </c>
      <c r="B32" s="8" t="s">
        <v>337</v>
      </c>
      <c r="C32" s="8" t="s">
        <v>17</v>
      </c>
      <c r="D32" s="8" t="s">
        <v>22</v>
      </c>
      <c r="E32" s="12">
        <v>81897.789999999994</v>
      </c>
      <c r="F32" s="7">
        <v>43146</v>
      </c>
      <c r="G32" s="8">
        <v>1</v>
      </c>
      <c r="H32" s="8" t="s">
        <v>13</v>
      </c>
      <c r="I32" s="8" t="s">
        <v>60</v>
      </c>
      <c r="J32" s="23">
        <f>Salary__2[[#This Row],[Salary]]-$O$16</f>
        <v>8853.5061261261581</v>
      </c>
      <c r="K32" s="13">
        <v>0.53125</v>
      </c>
    </row>
    <row r="33" spans="1:24" x14ac:dyDescent="0.3">
      <c r="A33" s="8" t="s">
        <v>536</v>
      </c>
      <c r="B33" s="8" t="s">
        <v>537</v>
      </c>
      <c r="C33" s="8" t="s">
        <v>17</v>
      </c>
      <c r="D33" s="8" t="s">
        <v>33</v>
      </c>
      <c r="E33" s="12">
        <v>78378.2</v>
      </c>
      <c r="F33" s="7">
        <v>43465</v>
      </c>
      <c r="G33" s="8">
        <v>0.4</v>
      </c>
      <c r="H33" s="8" t="s">
        <v>13</v>
      </c>
      <c r="I33" s="8" t="s">
        <v>14</v>
      </c>
      <c r="J33" s="23">
        <f>Salary__2[[#This Row],[Salary]]-$O$16</f>
        <v>5333.9161261261615</v>
      </c>
      <c r="K33" s="13">
        <v>0.36666666666666664</v>
      </c>
      <c r="N33" s="17"/>
      <c r="O33" s="17" t="s">
        <v>642</v>
      </c>
      <c r="P33" s="17" t="s">
        <v>643</v>
      </c>
      <c r="Q33" s="17" t="s">
        <v>644</v>
      </c>
      <c r="T33" s="17">
        <v>0</v>
      </c>
      <c r="U33" s="17">
        <v>0</v>
      </c>
      <c r="V33" s="17" t="s">
        <v>645</v>
      </c>
      <c r="W33" s="17" t="s">
        <v>646</v>
      </c>
      <c r="X33" s="17" t="s">
        <v>647</v>
      </c>
    </row>
    <row r="34" spans="1:24" x14ac:dyDescent="0.3">
      <c r="A34" s="8" t="s">
        <v>88</v>
      </c>
      <c r="B34" s="8" t="s">
        <v>559</v>
      </c>
      <c r="C34" s="8" t="s">
        <v>17</v>
      </c>
      <c r="D34" s="8" t="s">
        <v>74</v>
      </c>
      <c r="E34" s="12">
        <v>61994.76</v>
      </c>
      <c r="F34" s="7">
        <v>43794</v>
      </c>
      <c r="G34" s="8">
        <v>0.3</v>
      </c>
      <c r="H34" s="8" t="s">
        <v>13</v>
      </c>
      <c r="I34" s="8" t="s">
        <v>30</v>
      </c>
      <c r="J34" s="23">
        <f>Salary__2[[#This Row],[Salary]]-$O$16</f>
        <v>-11049.523873873834</v>
      </c>
      <c r="K34" s="13">
        <v>0.36666666666666664</v>
      </c>
      <c r="N34" s="19">
        <v>400</v>
      </c>
      <c r="O34" s="18" t="str">
        <f>TEXT(N34,"#,##0;-#,##0;;")</f>
        <v>400</v>
      </c>
      <c r="P34" s="18" t="str">
        <f>TEXT(N34,"#,##0;;#,##0;")</f>
        <v>400</v>
      </c>
      <c r="Q34" s="18" t="str">
        <f>TEXT(N34,";-#,##0;#,##0")</f>
        <v/>
      </c>
      <c r="S34" s="17">
        <v>0.1</v>
      </c>
      <c r="T34" s="11">
        <v>0.1</v>
      </c>
      <c r="U34" s="10">
        <v>0.1</v>
      </c>
      <c r="V34" s="20">
        <v>0.1</v>
      </c>
      <c r="W34" s="21">
        <v>0.1</v>
      </c>
      <c r="X34" s="22">
        <v>0.1</v>
      </c>
    </row>
    <row r="35" spans="1:24" x14ac:dyDescent="0.3">
      <c r="A35" s="8" t="s">
        <v>166</v>
      </c>
      <c r="B35" s="8" t="s">
        <v>167</v>
      </c>
      <c r="C35" s="8" t="s">
        <v>11</v>
      </c>
      <c r="D35" s="8" t="s">
        <v>40</v>
      </c>
      <c r="E35" s="12">
        <v>37362.300000000003</v>
      </c>
      <c r="F35" s="7">
        <v>43642</v>
      </c>
      <c r="G35" s="8">
        <v>1</v>
      </c>
      <c r="H35" s="8" t="s">
        <v>13</v>
      </c>
      <c r="I35" s="8" t="s">
        <v>60</v>
      </c>
      <c r="J35" s="23">
        <f>Salary__2[[#This Row],[Salary]]-$O$16</f>
        <v>-35681.983873873833</v>
      </c>
      <c r="K35" s="13">
        <v>0.36666666666666664</v>
      </c>
      <c r="N35" s="19">
        <v>0</v>
      </c>
      <c r="O35" s="18" t="str">
        <f t="shared" ref="O35:O39" si="0">TEXT(N35,"#,##0;-#,##0;;")</f>
        <v/>
      </c>
      <c r="P35" s="18" t="str">
        <f t="shared" ref="P35:P39" si="1">TEXT(N35,"#,##0;;#,##0;")</f>
        <v>0</v>
      </c>
      <c r="Q35" s="18" t="str">
        <f t="shared" ref="Q35:Q39" si="2">TEXT(N35,";-#,##0;#,##0")</f>
        <v>0</v>
      </c>
      <c r="S35" s="17">
        <v>0.2</v>
      </c>
      <c r="T35" s="11">
        <v>0.2</v>
      </c>
      <c r="U35" s="10">
        <v>0.2</v>
      </c>
      <c r="V35" s="20">
        <v>0.2</v>
      </c>
      <c r="W35" s="21">
        <v>0.2</v>
      </c>
      <c r="X35" s="22">
        <v>0.2</v>
      </c>
    </row>
    <row r="36" spans="1:24" x14ac:dyDescent="0.3">
      <c r="A36" s="8" t="s">
        <v>420</v>
      </c>
      <c r="B36" s="8" t="s">
        <v>421</v>
      </c>
      <c r="C36" s="8" t="s">
        <v>17</v>
      </c>
      <c r="D36" s="8" t="s">
        <v>25</v>
      </c>
      <c r="E36" s="12">
        <v>84745.93</v>
      </c>
      <c r="F36" s="7">
        <v>43707</v>
      </c>
      <c r="G36" s="8">
        <v>1</v>
      </c>
      <c r="H36" s="8" t="s">
        <v>13</v>
      </c>
      <c r="I36" s="8" t="s">
        <v>35</v>
      </c>
      <c r="J36" s="23">
        <f>Salary__2[[#This Row],[Salary]]-$O$16</f>
        <v>11701.646126126157</v>
      </c>
      <c r="K36" s="13">
        <v>9.930555555555555E-2</v>
      </c>
      <c r="N36" s="19">
        <v>-123</v>
      </c>
      <c r="O36" s="18" t="str">
        <f t="shared" si="0"/>
        <v>-123</v>
      </c>
      <c r="P36" s="18" t="str">
        <f t="shared" si="1"/>
        <v/>
      </c>
      <c r="Q36" s="18" t="str">
        <f t="shared" si="2"/>
        <v>-123</v>
      </c>
      <c r="S36" s="17">
        <v>0.32300000000000001</v>
      </c>
      <c r="T36" s="11">
        <v>0.30000000000000004</v>
      </c>
      <c r="U36" s="10">
        <v>0.30000000000000004</v>
      </c>
      <c r="V36" s="20">
        <v>0.32300000000000001</v>
      </c>
      <c r="W36" s="21">
        <v>0.32300000000000001</v>
      </c>
      <c r="X36" s="22">
        <v>0.32300000000000001</v>
      </c>
    </row>
    <row r="37" spans="1:24" x14ac:dyDescent="0.3">
      <c r="A37" s="8" t="s">
        <v>211</v>
      </c>
      <c r="B37" s="8" t="s">
        <v>575</v>
      </c>
      <c r="C37" s="8" t="s">
        <v>11</v>
      </c>
      <c r="D37" s="8" t="s">
        <v>80</v>
      </c>
      <c r="E37" s="12">
        <v>32192.15</v>
      </c>
      <c r="F37" s="7">
        <v>44473</v>
      </c>
      <c r="G37" s="8">
        <v>1</v>
      </c>
      <c r="H37" s="8" t="s">
        <v>13</v>
      </c>
      <c r="I37" s="8" t="s">
        <v>30</v>
      </c>
      <c r="J37" s="23">
        <f>Salary__2[[#This Row],[Salary]]-$O$16</f>
        <v>-40852.133873873834</v>
      </c>
      <c r="K37" s="13">
        <v>8.2638888888888887E-2</v>
      </c>
      <c r="N37" s="19">
        <v>948</v>
      </c>
      <c r="O37" s="18" t="str">
        <f t="shared" si="0"/>
        <v>948</v>
      </c>
      <c r="P37" s="18" t="str">
        <f t="shared" si="1"/>
        <v>948</v>
      </c>
      <c r="Q37" s="18" t="str">
        <f t="shared" si="2"/>
        <v/>
      </c>
      <c r="S37" s="17">
        <v>0.4</v>
      </c>
      <c r="T37" s="11">
        <v>0.4</v>
      </c>
      <c r="U37" s="10">
        <v>0.4</v>
      </c>
      <c r="V37" s="20">
        <v>0.4</v>
      </c>
      <c r="W37" s="21">
        <v>0.4</v>
      </c>
      <c r="X37" s="22">
        <v>0.4</v>
      </c>
    </row>
    <row r="38" spans="1:24" x14ac:dyDescent="0.3">
      <c r="A38" s="8" t="s">
        <v>488</v>
      </c>
      <c r="B38" s="8" t="s">
        <v>618</v>
      </c>
      <c r="C38" s="8" t="s">
        <v>11</v>
      </c>
      <c r="D38" s="8" t="s">
        <v>37</v>
      </c>
      <c r="E38" s="12">
        <v>36714.379999999997</v>
      </c>
      <c r="F38" s="7">
        <v>44175</v>
      </c>
      <c r="G38" s="8">
        <v>1</v>
      </c>
      <c r="H38" s="8" t="s">
        <v>13</v>
      </c>
      <c r="I38" s="8" t="s">
        <v>66</v>
      </c>
      <c r="J38" s="23">
        <f>Salary__2[[#This Row],[Salary]]-$O$16</f>
        <v>-36329.903873873838</v>
      </c>
      <c r="K38" s="13">
        <v>0.53125</v>
      </c>
      <c r="N38" s="19">
        <v>0</v>
      </c>
      <c r="O38" s="18" t="str">
        <f t="shared" si="0"/>
        <v/>
      </c>
      <c r="P38" s="18" t="str">
        <f t="shared" si="1"/>
        <v>0</v>
      </c>
      <c r="Q38" s="18" t="str">
        <f t="shared" si="2"/>
        <v>0</v>
      </c>
      <c r="S38" s="17">
        <v>0.52</v>
      </c>
      <c r="T38" s="11">
        <v>0.5</v>
      </c>
      <c r="U38" s="10">
        <v>0.5</v>
      </c>
      <c r="V38" s="20">
        <v>0.52</v>
      </c>
      <c r="W38" s="21">
        <v>0.52</v>
      </c>
      <c r="X38" s="22">
        <v>0.52</v>
      </c>
    </row>
    <row r="39" spans="1:24" x14ac:dyDescent="0.3">
      <c r="A39" s="8" t="s">
        <v>89</v>
      </c>
      <c r="B39" s="8" t="s">
        <v>90</v>
      </c>
      <c r="C39" s="8" t="s">
        <v>17</v>
      </c>
      <c r="D39" s="8" t="s">
        <v>22</v>
      </c>
      <c r="E39" s="12">
        <v>89690.38</v>
      </c>
      <c r="F39" s="7">
        <v>43206</v>
      </c>
      <c r="G39" s="8">
        <v>1</v>
      </c>
      <c r="H39" s="8" t="s">
        <v>13</v>
      </c>
      <c r="I39" s="8" t="s">
        <v>35</v>
      </c>
      <c r="J39" s="23">
        <f>Salary__2[[#This Row],[Salary]]-$O$16</f>
        <v>16646.096126126169</v>
      </c>
      <c r="K39" s="13">
        <v>0.36666666666666664</v>
      </c>
      <c r="N39" s="19">
        <v>-129</v>
      </c>
      <c r="O39" s="18" t="str">
        <f t="shared" si="0"/>
        <v>-129</v>
      </c>
      <c r="P39" s="18" t="str">
        <f t="shared" si="1"/>
        <v/>
      </c>
      <c r="Q39" s="18" t="str">
        <f t="shared" si="2"/>
        <v>-129</v>
      </c>
      <c r="S39" s="17">
        <v>0.6</v>
      </c>
      <c r="T39" s="11">
        <v>0.6</v>
      </c>
      <c r="U39" s="10">
        <v>0.6</v>
      </c>
      <c r="V39" s="20">
        <v>0.6</v>
      </c>
      <c r="W39" s="21">
        <v>0.6</v>
      </c>
      <c r="X39" s="22">
        <v>0.6</v>
      </c>
    </row>
    <row r="40" spans="1:24" x14ac:dyDescent="0.3">
      <c r="A40" s="8" t="s">
        <v>352</v>
      </c>
      <c r="B40" s="8" t="s">
        <v>353</v>
      </c>
      <c r="C40" s="8" t="s">
        <v>17</v>
      </c>
      <c r="D40" s="8" t="s">
        <v>80</v>
      </c>
      <c r="E40" s="12">
        <v>39535.49</v>
      </c>
      <c r="F40" s="7">
        <v>43397</v>
      </c>
      <c r="G40" s="8">
        <v>0.3</v>
      </c>
      <c r="H40" s="8" t="s">
        <v>13</v>
      </c>
      <c r="I40" s="8" t="s">
        <v>14</v>
      </c>
      <c r="J40" s="23">
        <f>Salary__2[[#This Row],[Salary]]-$O$16</f>
        <v>-33508.793873873838</v>
      </c>
      <c r="K40" s="13">
        <v>9.930555555555555E-2</v>
      </c>
      <c r="S40" s="17">
        <v>1.1232</v>
      </c>
      <c r="T40" s="11">
        <v>0.70000000000000007</v>
      </c>
      <c r="U40" s="10">
        <v>0.70000000000000007</v>
      </c>
      <c r="V40" s="20">
        <v>1.1232</v>
      </c>
      <c r="W40" s="21">
        <v>1.1232</v>
      </c>
      <c r="X40" s="22">
        <v>1.1232</v>
      </c>
    </row>
    <row r="41" spans="1:24" x14ac:dyDescent="0.3">
      <c r="A41" s="8" t="s">
        <v>78</v>
      </c>
      <c r="B41" s="8" t="s">
        <v>79</v>
      </c>
      <c r="C41" s="8" t="s">
        <v>11</v>
      </c>
      <c r="D41" s="8" t="s">
        <v>80</v>
      </c>
      <c r="E41" s="12">
        <v>62195.47</v>
      </c>
      <c r="F41" s="7">
        <v>44434</v>
      </c>
      <c r="G41" s="8">
        <v>1</v>
      </c>
      <c r="H41" s="8" t="s">
        <v>13</v>
      </c>
      <c r="I41" s="8" t="s">
        <v>14</v>
      </c>
      <c r="J41" s="23">
        <f>Salary__2[[#This Row],[Salary]]-$O$16</f>
        <v>-10848.813873873834</v>
      </c>
      <c r="K41" s="13">
        <v>8.2638888888888887E-2</v>
      </c>
    </row>
    <row r="42" spans="1:24" x14ac:dyDescent="0.3">
      <c r="A42" s="8" t="s">
        <v>544</v>
      </c>
      <c r="B42" s="8" t="s">
        <v>170</v>
      </c>
      <c r="C42" s="8" t="s">
        <v>11</v>
      </c>
      <c r="D42" s="8" t="s">
        <v>74</v>
      </c>
      <c r="E42" s="12">
        <v>72876.91</v>
      </c>
      <c r="F42" s="7">
        <v>43837</v>
      </c>
      <c r="G42" s="8">
        <v>1</v>
      </c>
      <c r="H42" s="8" t="s">
        <v>13</v>
      </c>
      <c r="I42" s="8" t="s">
        <v>14</v>
      </c>
      <c r="J42" s="23">
        <f>Salary__2[[#This Row],[Salary]]-$O$16</f>
        <v>-167.37387387383205</v>
      </c>
      <c r="K42" s="13">
        <v>0.53125</v>
      </c>
    </row>
    <row r="43" spans="1:24" x14ac:dyDescent="0.3">
      <c r="A43" s="8" t="s">
        <v>250</v>
      </c>
      <c r="B43" s="8" t="s">
        <v>579</v>
      </c>
      <c r="C43" s="8" t="s">
        <v>11</v>
      </c>
      <c r="D43" s="8" t="s">
        <v>99</v>
      </c>
      <c r="E43" s="12">
        <v>66572.58</v>
      </c>
      <c r="F43" s="7">
        <v>44193</v>
      </c>
      <c r="G43" s="8">
        <v>1</v>
      </c>
      <c r="H43" s="8" t="s">
        <v>13</v>
      </c>
      <c r="I43" s="8" t="s">
        <v>66</v>
      </c>
      <c r="J43" s="23">
        <f>Salary__2[[#This Row],[Salary]]-$O$16</f>
        <v>-6471.7038738738338</v>
      </c>
      <c r="K43" s="13">
        <v>0.36666666666666664</v>
      </c>
    </row>
    <row r="44" spans="1:24" x14ac:dyDescent="0.3">
      <c r="A44" s="8" t="s">
        <v>152</v>
      </c>
      <c r="B44" s="8" t="s">
        <v>153</v>
      </c>
      <c r="C44" s="8" t="s">
        <v>17</v>
      </c>
      <c r="D44" s="8" t="s">
        <v>74</v>
      </c>
      <c r="E44" s="12">
        <v>35943.620000000003</v>
      </c>
      <c r="F44" s="7">
        <v>44078</v>
      </c>
      <c r="G44" s="8">
        <v>1</v>
      </c>
      <c r="H44" s="8" t="s">
        <v>13</v>
      </c>
      <c r="I44" s="8" t="s">
        <v>55</v>
      </c>
      <c r="J44" s="23">
        <f>Salary__2[[#This Row],[Salary]]-$O$16</f>
        <v>-37100.663873873833</v>
      </c>
      <c r="K44" s="13">
        <v>8.2638888888888887E-2</v>
      </c>
    </row>
    <row r="45" spans="1:24" x14ac:dyDescent="0.3">
      <c r="A45" s="8" t="s">
        <v>377</v>
      </c>
      <c r="B45" s="8" t="s">
        <v>378</v>
      </c>
      <c r="C45" s="8" t="s">
        <v>11</v>
      </c>
      <c r="D45" s="8" t="s">
        <v>77</v>
      </c>
      <c r="E45" s="12">
        <v>119022.49</v>
      </c>
      <c r="F45" s="7">
        <v>44431</v>
      </c>
      <c r="G45" s="8">
        <v>1</v>
      </c>
      <c r="H45" s="8" t="s">
        <v>13</v>
      </c>
      <c r="I45" s="8" t="s">
        <v>60</v>
      </c>
      <c r="J45" s="23">
        <f>Salary__2[[#This Row],[Salary]]-$O$16</f>
        <v>45978.20612612617</v>
      </c>
      <c r="K45" s="13">
        <v>0.53125</v>
      </c>
    </row>
    <row r="46" spans="1:24" x14ac:dyDescent="0.3">
      <c r="A46" s="8" t="s">
        <v>200</v>
      </c>
      <c r="B46" s="8" t="s">
        <v>201</v>
      </c>
      <c r="C46" s="8" t="s">
        <v>11</v>
      </c>
      <c r="D46" s="8" t="s">
        <v>40</v>
      </c>
      <c r="E46" s="12">
        <v>65699.02</v>
      </c>
      <c r="F46" s="7">
        <v>43951</v>
      </c>
      <c r="G46" s="8">
        <v>1</v>
      </c>
      <c r="H46" s="8" t="s">
        <v>13</v>
      </c>
      <c r="I46" s="8" t="s">
        <v>55</v>
      </c>
      <c r="J46" s="23">
        <f>Salary__2[[#This Row],[Salary]]-$O$16</f>
        <v>-7345.2638738738315</v>
      </c>
      <c r="K46" s="13">
        <v>0.36666666666666664</v>
      </c>
    </row>
    <row r="47" spans="1:24" x14ac:dyDescent="0.3">
      <c r="A47" s="8" t="s">
        <v>548</v>
      </c>
      <c r="B47" s="8" t="s">
        <v>549</v>
      </c>
      <c r="C47" s="8" t="s">
        <v>17</v>
      </c>
      <c r="D47" s="8" t="s">
        <v>80</v>
      </c>
      <c r="E47" s="12">
        <v>47551.89</v>
      </c>
      <c r="F47" s="7">
        <v>43468</v>
      </c>
      <c r="G47" s="8">
        <v>1</v>
      </c>
      <c r="H47" s="8" t="s">
        <v>13</v>
      </c>
      <c r="I47" s="8" t="s">
        <v>60</v>
      </c>
      <c r="J47" s="23">
        <f>Salary__2[[#This Row],[Salary]]-$O$16</f>
        <v>-25492.393873873836</v>
      </c>
      <c r="K47" s="13">
        <v>9.930555555555555E-2</v>
      </c>
    </row>
    <row r="48" spans="1:24" x14ac:dyDescent="0.3">
      <c r="A48" s="8" t="s">
        <v>218</v>
      </c>
      <c r="B48" s="8" t="s">
        <v>219</v>
      </c>
      <c r="C48" s="8" t="s">
        <v>17</v>
      </c>
      <c r="D48" s="8" t="s">
        <v>18</v>
      </c>
      <c r="E48" s="12">
        <v>80695.740000000005</v>
      </c>
      <c r="F48" s="7">
        <v>43787</v>
      </c>
      <c r="G48" s="8">
        <v>0.8</v>
      </c>
      <c r="H48" s="8" t="s">
        <v>13</v>
      </c>
      <c r="I48" s="8" t="s">
        <v>55</v>
      </c>
      <c r="J48" s="23">
        <f>Salary__2[[#This Row],[Salary]]-$O$16</f>
        <v>7651.4561261261697</v>
      </c>
      <c r="K48" s="13">
        <v>8.2638888888888887E-2</v>
      </c>
    </row>
    <row r="49" spans="1:11" x14ac:dyDescent="0.3">
      <c r="A49" s="8" t="s">
        <v>318</v>
      </c>
      <c r="B49" s="8" t="s">
        <v>593</v>
      </c>
      <c r="C49" s="8" t="s">
        <v>17</v>
      </c>
      <c r="D49" s="8" t="s">
        <v>43</v>
      </c>
      <c r="E49" s="12">
        <v>92336.08</v>
      </c>
      <c r="F49" s="7">
        <v>44431</v>
      </c>
      <c r="G49" s="8">
        <v>1</v>
      </c>
      <c r="H49" s="8" t="s">
        <v>13</v>
      </c>
      <c r="I49" s="8" t="s">
        <v>30</v>
      </c>
      <c r="J49" s="23">
        <f>Salary__2[[#This Row],[Salary]]-$O$16</f>
        <v>19291.796126126166</v>
      </c>
      <c r="K49" s="13">
        <v>0.53125</v>
      </c>
    </row>
    <row r="50" spans="1:11" x14ac:dyDescent="0.3">
      <c r="A50" s="8" t="s">
        <v>52</v>
      </c>
      <c r="B50" s="8" t="s">
        <v>53</v>
      </c>
      <c r="C50" s="8" t="s">
        <v>17</v>
      </c>
      <c r="D50" s="8" t="s">
        <v>18</v>
      </c>
      <c r="E50" s="12">
        <v>69192.850000000006</v>
      </c>
      <c r="F50" s="7">
        <v>44305</v>
      </c>
      <c r="G50" s="8">
        <v>1</v>
      </c>
      <c r="H50" s="8" t="s">
        <v>13</v>
      </c>
      <c r="I50" s="8" t="s">
        <v>55</v>
      </c>
      <c r="J50" s="23">
        <f>Salary__2[[#This Row],[Salary]]-$O$16</f>
        <v>-3851.4338738738297</v>
      </c>
      <c r="K50" s="13">
        <v>0.36666666666666664</v>
      </c>
    </row>
    <row r="51" spans="1:11" x14ac:dyDescent="0.3">
      <c r="A51" s="8" t="s">
        <v>15</v>
      </c>
      <c r="B51" s="8" t="s">
        <v>16</v>
      </c>
      <c r="C51" s="8" t="s">
        <v>17</v>
      </c>
      <c r="D51" s="8" t="s">
        <v>18</v>
      </c>
      <c r="E51" s="12">
        <v>98000</v>
      </c>
      <c r="F51" s="7">
        <v>43710</v>
      </c>
      <c r="G51" s="8">
        <v>0.9</v>
      </c>
      <c r="H51" s="8" t="s">
        <v>13</v>
      </c>
      <c r="I51" s="8" t="s">
        <v>19</v>
      </c>
      <c r="J51" s="23">
        <f>Salary__2[[#This Row],[Salary]]-$O$16</f>
        <v>24955.716126126164</v>
      </c>
      <c r="K51" s="13">
        <v>0.36666666666666664</v>
      </c>
    </row>
    <row r="52" spans="1:11" x14ac:dyDescent="0.3">
      <c r="A52" s="8" t="s">
        <v>472</v>
      </c>
      <c r="B52" s="8" t="s">
        <v>473</v>
      </c>
      <c r="C52" s="8" t="s">
        <v>17</v>
      </c>
      <c r="D52" s="8" t="s">
        <v>80</v>
      </c>
      <c r="E52" s="12">
        <v>77045.440000000002</v>
      </c>
      <c r="F52" s="7">
        <v>43636</v>
      </c>
      <c r="G52" s="8">
        <v>1</v>
      </c>
      <c r="H52" s="8" t="s">
        <v>13</v>
      </c>
      <c r="I52" s="8" t="s">
        <v>14</v>
      </c>
      <c r="J52" s="23">
        <f>Salary__2[[#This Row],[Salary]]-$O$16</f>
        <v>4001.1561261261668</v>
      </c>
      <c r="K52" s="13">
        <v>0.36666666666666664</v>
      </c>
    </row>
    <row r="53" spans="1:11" x14ac:dyDescent="0.3">
      <c r="A53" s="8" t="s">
        <v>330</v>
      </c>
      <c r="B53" s="8" t="s">
        <v>331</v>
      </c>
      <c r="C53" s="8" t="s">
        <v>11</v>
      </c>
      <c r="D53" s="8" t="s">
        <v>18</v>
      </c>
      <c r="E53" s="12">
        <v>110042.37</v>
      </c>
      <c r="F53" s="7">
        <v>43914</v>
      </c>
      <c r="G53" s="8">
        <v>1</v>
      </c>
      <c r="H53" s="8" t="s">
        <v>13</v>
      </c>
      <c r="I53" s="8" t="s">
        <v>55</v>
      </c>
      <c r="J53" s="23">
        <f>Salary__2[[#This Row],[Salary]]-$O$16</f>
        <v>36998.08612612616</v>
      </c>
      <c r="K53" s="13">
        <v>0.53125</v>
      </c>
    </row>
    <row r="54" spans="1:11" x14ac:dyDescent="0.3">
      <c r="A54" s="8" t="s">
        <v>437</v>
      </c>
      <c r="B54" s="8" t="s">
        <v>438</v>
      </c>
      <c r="C54" s="8" t="s">
        <v>11</v>
      </c>
      <c r="D54" s="8" t="s">
        <v>43</v>
      </c>
      <c r="E54" s="12">
        <v>62281.24</v>
      </c>
      <c r="F54" s="7">
        <v>43272</v>
      </c>
      <c r="G54" s="8">
        <v>1</v>
      </c>
      <c r="H54" s="8" t="s">
        <v>13</v>
      </c>
      <c r="I54" s="8" t="s">
        <v>14</v>
      </c>
      <c r="J54" s="23">
        <f>Salary__2[[#This Row],[Salary]]-$O$16</f>
        <v>-10763.043873873838</v>
      </c>
      <c r="K54" s="13">
        <v>0.36666666666666664</v>
      </c>
    </row>
    <row r="55" spans="1:11" x14ac:dyDescent="0.3">
      <c r="A55" s="8" t="s">
        <v>385</v>
      </c>
      <c r="B55" s="8" t="s">
        <v>606</v>
      </c>
      <c r="C55" s="8" t="s">
        <v>17</v>
      </c>
      <c r="D55" s="8" t="s">
        <v>25</v>
      </c>
      <c r="E55" s="12">
        <v>86010.54</v>
      </c>
      <c r="F55" s="7">
        <v>43164</v>
      </c>
      <c r="G55" s="8">
        <v>1</v>
      </c>
      <c r="H55" s="8" t="s">
        <v>13</v>
      </c>
      <c r="I55" s="8" t="s">
        <v>66</v>
      </c>
      <c r="J55" s="23">
        <f>Salary__2[[#This Row],[Salary]]-$O$16</f>
        <v>12966.256126126158</v>
      </c>
      <c r="K55" s="13">
        <v>9.930555555555555E-2</v>
      </c>
    </row>
    <row r="56" spans="1:11" x14ac:dyDescent="0.3">
      <c r="A56" s="8" t="s">
        <v>31</v>
      </c>
      <c r="B56" s="8" t="s">
        <v>32</v>
      </c>
      <c r="C56" s="8" t="s">
        <v>11</v>
      </c>
      <c r="D56" s="8" t="s">
        <v>33</v>
      </c>
      <c r="E56" s="12">
        <v>118976.16</v>
      </c>
      <c r="F56" s="7">
        <v>44120</v>
      </c>
      <c r="G56" s="8">
        <v>1</v>
      </c>
      <c r="H56" s="8" t="s">
        <v>13</v>
      </c>
      <c r="I56" s="8" t="s">
        <v>35</v>
      </c>
      <c r="J56" s="23">
        <f>Salary__2[[#This Row],[Salary]]-$O$16</f>
        <v>45931.876126126168</v>
      </c>
      <c r="K56" s="13">
        <v>8.2638888888888887E-2</v>
      </c>
    </row>
    <row r="57" spans="1:11" x14ac:dyDescent="0.3">
      <c r="A57" s="8" t="s">
        <v>456</v>
      </c>
      <c r="B57" s="8" t="s">
        <v>615</v>
      </c>
      <c r="C57" s="8" t="s">
        <v>17</v>
      </c>
      <c r="D57" s="8" t="s">
        <v>22</v>
      </c>
      <c r="E57" s="12">
        <v>71229.42</v>
      </c>
      <c r="F57" s="7">
        <v>44166</v>
      </c>
      <c r="G57" s="8">
        <v>1</v>
      </c>
      <c r="H57" s="8" t="s">
        <v>13</v>
      </c>
      <c r="I57" s="8" t="s">
        <v>30</v>
      </c>
      <c r="J57" s="23">
        <f>Salary__2[[#This Row],[Salary]]-$O$16</f>
        <v>-1814.8638738738373</v>
      </c>
      <c r="K57" s="13">
        <v>0.53125</v>
      </c>
    </row>
    <row r="58" spans="1:11" x14ac:dyDescent="0.3">
      <c r="A58" s="8" t="s">
        <v>499</v>
      </c>
      <c r="B58" s="8" t="s">
        <v>620</v>
      </c>
      <c r="C58" s="8" t="s">
        <v>17</v>
      </c>
      <c r="D58" s="8" t="s">
        <v>99</v>
      </c>
      <c r="E58" s="12">
        <v>61213.01</v>
      </c>
      <c r="F58" s="7">
        <v>44365</v>
      </c>
      <c r="G58" s="8">
        <v>1</v>
      </c>
      <c r="H58" s="8" t="s">
        <v>13</v>
      </c>
      <c r="I58" s="8" t="s">
        <v>66</v>
      </c>
      <c r="J58" s="23">
        <f>Salary__2[[#This Row],[Salary]]-$O$16</f>
        <v>-11831.273873873834</v>
      </c>
      <c r="K58" s="13">
        <v>0.36666666666666664</v>
      </c>
    </row>
    <row r="59" spans="1:11" x14ac:dyDescent="0.3">
      <c r="A59" s="8" t="s">
        <v>145</v>
      </c>
      <c r="B59" s="8" t="s">
        <v>146</v>
      </c>
      <c r="C59" s="8" t="s">
        <v>11</v>
      </c>
      <c r="D59" s="8" t="s">
        <v>40</v>
      </c>
      <c r="E59" s="12">
        <v>40753.54</v>
      </c>
      <c r="F59" s="7">
        <v>43152</v>
      </c>
      <c r="G59" s="8">
        <v>0.6</v>
      </c>
      <c r="H59" s="8" t="s">
        <v>13</v>
      </c>
      <c r="I59" s="8" t="s">
        <v>35</v>
      </c>
      <c r="J59" s="23">
        <f>Salary__2[[#This Row],[Salary]]-$O$16</f>
        <v>-32290.743873873835</v>
      </c>
      <c r="K59" s="13">
        <v>0.53125</v>
      </c>
    </row>
    <row r="60" spans="1:11" x14ac:dyDescent="0.3">
      <c r="A60" s="8" t="s">
        <v>248</v>
      </c>
      <c r="B60" s="8" t="s">
        <v>249</v>
      </c>
      <c r="C60" s="8" t="s">
        <v>17</v>
      </c>
      <c r="D60" s="8" t="s">
        <v>80</v>
      </c>
      <c r="E60" s="12">
        <v>41934.71</v>
      </c>
      <c r="F60" s="7">
        <v>43943</v>
      </c>
      <c r="G60" s="8">
        <v>1</v>
      </c>
      <c r="H60" s="8" t="s">
        <v>13</v>
      </c>
      <c r="I60" s="8" t="s">
        <v>14</v>
      </c>
      <c r="J60" s="23">
        <f>Salary__2[[#This Row],[Salary]]-$O$16</f>
        <v>-31109.573873873836</v>
      </c>
      <c r="K60" s="13">
        <v>0.36666666666666664</v>
      </c>
    </row>
    <row r="61" spans="1:11" x14ac:dyDescent="0.3">
      <c r="A61" s="8" t="s">
        <v>262</v>
      </c>
      <c r="B61" s="8" t="s">
        <v>263</v>
      </c>
      <c r="C61" s="8" t="s">
        <v>17</v>
      </c>
      <c r="D61" s="8" t="s">
        <v>99</v>
      </c>
      <c r="E61" s="12">
        <v>111049.84</v>
      </c>
      <c r="F61" s="7">
        <v>44393</v>
      </c>
      <c r="G61" s="8">
        <v>1</v>
      </c>
      <c r="H61" s="8" t="s">
        <v>13</v>
      </c>
      <c r="I61" s="8" t="s">
        <v>35</v>
      </c>
      <c r="J61" s="23">
        <f>Salary__2[[#This Row],[Salary]]-$O$16</f>
        <v>38005.556126126161</v>
      </c>
      <c r="K61" s="13">
        <v>9.930555555555555E-2</v>
      </c>
    </row>
    <row r="62" spans="1:11" x14ac:dyDescent="0.3">
      <c r="A62" s="8" t="s">
        <v>41</v>
      </c>
      <c r="B62" s="8" t="s">
        <v>42</v>
      </c>
      <c r="C62" s="8" t="s">
        <v>11</v>
      </c>
      <c r="D62" s="8" t="s">
        <v>43</v>
      </c>
      <c r="E62" s="12">
        <v>74279.009999999995</v>
      </c>
      <c r="F62" s="7">
        <v>43466</v>
      </c>
      <c r="G62" s="8">
        <v>1</v>
      </c>
      <c r="H62" s="8" t="s">
        <v>13</v>
      </c>
      <c r="I62" s="8" t="s">
        <v>35</v>
      </c>
      <c r="J62" s="23">
        <f>Salary__2[[#This Row],[Salary]]-$O$16</f>
        <v>1234.7261261261592</v>
      </c>
      <c r="K62" s="13">
        <v>8.2638888888888887E-2</v>
      </c>
    </row>
    <row r="63" spans="1:11" x14ac:dyDescent="0.3">
      <c r="A63" s="8" t="s">
        <v>61</v>
      </c>
      <c r="B63" s="8" t="s">
        <v>62</v>
      </c>
      <c r="C63" s="8" t="s">
        <v>11</v>
      </c>
      <c r="D63" s="8" t="s">
        <v>37</v>
      </c>
      <c r="E63" s="12">
        <v>54137.05</v>
      </c>
      <c r="F63" s="7">
        <v>43763</v>
      </c>
      <c r="G63" s="8">
        <v>1</v>
      </c>
      <c r="H63" s="8" t="s">
        <v>13</v>
      </c>
      <c r="I63" s="8" t="s">
        <v>14</v>
      </c>
      <c r="J63" s="23">
        <f>Salary__2[[#This Row],[Salary]]-$O$16</f>
        <v>-18907.233873873833</v>
      </c>
      <c r="K63" s="13">
        <v>0.53125</v>
      </c>
    </row>
    <row r="64" spans="1:11" x14ac:dyDescent="0.3">
      <c r="A64" s="8" t="s">
        <v>285</v>
      </c>
      <c r="B64" s="8" t="s">
        <v>586</v>
      </c>
      <c r="C64" s="8" t="s">
        <v>17</v>
      </c>
      <c r="D64" s="8" t="s">
        <v>22</v>
      </c>
      <c r="E64" s="12">
        <v>89690.38</v>
      </c>
      <c r="F64" s="7">
        <v>43213</v>
      </c>
      <c r="G64" s="8">
        <v>1</v>
      </c>
      <c r="H64" s="8" t="s">
        <v>13</v>
      </c>
      <c r="I64" s="8" t="s">
        <v>30</v>
      </c>
      <c r="J64" s="23">
        <f>Salary__2[[#This Row],[Salary]]-$O$16</f>
        <v>16646.096126126169</v>
      </c>
      <c r="K64" s="13">
        <v>0.36666666666666664</v>
      </c>
    </row>
    <row r="65" spans="1:12" x14ac:dyDescent="0.3">
      <c r="A65" s="8" t="s">
        <v>158</v>
      </c>
      <c r="B65" s="8" t="s">
        <v>568</v>
      </c>
      <c r="C65" s="8" t="s">
        <v>17</v>
      </c>
      <c r="D65" s="8" t="s">
        <v>93</v>
      </c>
      <c r="E65" s="12">
        <v>38438.239999999998</v>
      </c>
      <c r="F65" s="7">
        <v>43962</v>
      </c>
      <c r="G65" s="8">
        <v>1</v>
      </c>
      <c r="H65" s="8" t="s">
        <v>13</v>
      </c>
      <c r="I65" s="8" t="s">
        <v>66</v>
      </c>
      <c r="J65" s="23">
        <f>Salary__2[[#This Row],[Salary]]-$O$16</f>
        <v>-34606.043873873838</v>
      </c>
      <c r="K65" s="13">
        <v>0.53125</v>
      </c>
    </row>
    <row r="66" spans="1:12" x14ac:dyDescent="0.3">
      <c r="A66" s="8" t="s">
        <v>315</v>
      </c>
      <c r="B66" s="8" t="s">
        <v>316</v>
      </c>
      <c r="C66" s="8" t="s">
        <v>17</v>
      </c>
      <c r="D66" s="8" t="s">
        <v>43</v>
      </c>
      <c r="E66" s="12">
        <v>44447.26</v>
      </c>
      <c r="F66" s="7">
        <v>43846</v>
      </c>
      <c r="G66" s="8">
        <v>0.4</v>
      </c>
      <c r="H66" s="8" t="s">
        <v>13</v>
      </c>
      <c r="I66" s="8" t="s">
        <v>19</v>
      </c>
      <c r="J66" s="23">
        <f>Salary__2[[#This Row],[Salary]]-$O$16</f>
        <v>-28597.023873873834</v>
      </c>
      <c r="K66" s="13">
        <v>0.36666666666666664</v>
      </c>
    </row>
    <row r="67" spans="1:12" x14ac:dyDescent="0.3">
      <c r="A67" s="8" t="s">
        <v>321</v>
      </c>
      <c r="B67" s="8" t="s">
        <v>594</v>
      </c>
      <c r="C67" s="8" t="s">
        <v>11</v>
      </c>
      <c r="D67" s="8" t="s">
        <v>93</v>
      </c>
      <c r="E67" s="12">
        <v>74924.649999999994</v>
      </c>
      <c r="F67" s="7">
        <v>44239</v>
      </c>
      <c r="G67" s="8">
        <v>1</v>
      </c>
      <c r="H67" s="8" t="s">
        <v>13</v>
      </c>
      <c r="I67" s="8" t="s">
        <v>30</v>
      </c>
      <c r="J67" s="23">
        <f>Salary__2[[#This Row],[Salary]]-$O$16</f>
        <v>1880.3661261261586</v>
      </c>
      <c r="K67" s="13">
        <v>9.930555555555555E-2</v>
      </c>
    </row>
    <row r="68" spans="1:12" x14ac:dyDescent="0.3">
      <c r="A68" s="8" t="s">
        <v>127</v>
      </c>
      <c r="B68" s="8" t="s">
        <v>560</v>
      </c>
      <c r="C68" s="8" t="s">
        <v>11</v>
      </c>
      <c r="D68" s="8" t="s">
        <v>74</v>
      </c>
      <c r="E68" s="12">
        <v>86556.96</v>
      </c>
      <c r="F68" s="7">
        <v>44104</v>
      </c>
      <c r="G68" s="8">
        <v>1</v>
      </c>
      <c r="H68" s="8" t="s">
        <v>13</v>
      </c>
      <c r="I68" s="8" t="s">
        <v>30</v>
      </c>
      <c r="J68" s="23">
        <f>Salary__2[[#This Row],[Salary]]-$O$16</f>
        <v>13512.676126126171</v>
      </c>
      <c r="K68" s="13">
        <v>8.2638888888888887E-2</v>
      </c>
    </row>
    <row r="69" spans="1:12" x14ac:dyDescent="0.3">
      <c r="A69" s="8" t="s">
        <v>319</v>
      </c>
      <c r="B69" s="8" t="s">
        <v>320</v>
      </c>
      <c r="C69" s="8" t="s">
        <v>17</v>
      </c>
      <c r="D69" s="8" t="s">
        <v>40</v>
      </c>
      <c r="E69" s="12">
        <v>68008.55</v>
      </c>
      <c r="F69" s="7">
        <v>44062</v>
      </c>
      <c r="G69" s="8">
        <v>1</v>
      </c>
      <c r="H69" s="8" t="s">
        <v>13</v>
      </c>
      <c r="I69" s="8" t="s">
        <v>60</v>
      </c>
      <c r="J69" s="23">
        <f>Salary__2[[#This Row],[Salary]]-$O$16</f>
        <v>-5035.7338738738326</v>
      </c>
      <c r="K69" s="13">
        <v>0.53125</v>
      </c>
    </row>
    <row r="70" spans="1:12" x14ac:dyDescent="0.3">
      <c r="A70" s="8" t="s">
        <v>97</v>
      </c>
      <c r="B70" s="8" t="s">
        <v>98</v>
      </c>
      <c r="C70" s="8" t="s">
        <v>11</v>
      </c>
      <c r="D70" s="8" t="s">
        <v>99</v>
      </c>
      <c r="E70" s="12">
        <v>90697.67</v>
      </c>
      <c r="F70" s="7">
        <v>44221</v>
      </c>
      <c r="G70" s="8">
        <v>0.8</v>
      </c>
      <c r="H70" s="8" t="s">
        <v>13</v>
      </c>
      <c r="I70" s="8" t="s">
        <v>19</v>
      </c>
      <c r="J70" s="23">
        <f>Salary__2[[#This Row],[Salary]]-$O$16</f>
        <v>17653.386126126163</v>
      </c>
      <c r="K70" s="13">
        <v>0.36666666666666664</v>
      </c>
    </row>
    <row r="71" spans="1:12" x14ac:dyDescent="0.3">
      <c r="A71" s="8" t="s">
        <v>144</v>
      </c>
      <c r="B71" s="8" t="s">
        <v>563</v>
      </c>
      <c r="C71" s="8" t="s">
        <v>17</v>
      </c>
      <c r="D71" s="8" t="s">
        <v>637</v>
      </c>
      <c r="E71" s="12">
        <v>44403.77</v>
      </c>
      <c r="F71" s="7">
        <v>43416</v>
      </c>
      <c r="G71" s="8">
        <v>1</v>
      </c>
      <c r="H71" s="8" t="s">
        <v>13</v>
      </c>
      <c r="I71" s="8" t="s">
        <v>30</v>
      </c>
      <c r="J71" s="23">
        <f>Salary__2[[#This Row],[Salary]]-$O$16</f>
        <v>-28640.513873873839</v>
      </c>
      <c r="K71" s="13">
        <v>0.36666666666666664</v>
      </c>
    </row>
    <row r="72" spans="1:12" x14ac:dyDescent="0.3">
      <c r="A72" s="8" t="s">
        <v>271</v>
      </c>
      <c r="B72" s="8" t="s">
        <v>272</v>
      </c>
      <c r="C72" s="8" t="s">
        <v>11</v>
      </c>
      <c r="D72" s="8" t="s">
        <v>77</v>
      </c>
      <c r="E72" s="12">
        <v>49915.14</v>
      </c>
      <c r="F72" s="7">
        <v>43550</v>
      </c>
      <c r="G72" s="8">
        <v>1</v>
      </c>
      <c r="H72" s="8" t="s">
        <v>13</v>
      </c>
      <c r="I72" s="8" t="s">
        <v>14</v>
      </c>
      <c r="J72" s="23">
        <f>Salary__2[[#This Row],[Salary]]-$O$16</f>
        <v>-23129.143873873836</v>
      </c>
      <c r="K72" s="13">
        <v>9.930555555555555E-2</v>
      </c>
      <c r="L72" s="9">
        <v>46054</v>
      </c>
    </row>
    <row r="73" spans="1:12" x14ac:dyDescent="0.3">
      <c r="A73" s="8" t="s">
        <v>115</v>
      </c>
      <c r="B73" s="8" t="s">
        <v>116</v>
      </c>
      <c r="C73" s="8" t="s">
        <v>11</v>
      </c>
      <c r="D73" s="8" t="s">
        <v>99</v>
      </c>
      <c r="E73" s="12">
        <v>113616.23</v>
      </c>
      <c r="F73" s="7">
        <v>43255</v>
      </c>
      <c r="G73" s="8">
        <v>1</v>
      </c>
      <c r="H73" s="8" t="s">
        <v>13</v>
      </c>
      <c r="I73" s="8" t="s">
        <v>14</v>
      </c>
      <c r="J73" s="23">
        <f>Salary__2[[#This Row],[Salary]]-$O$16</f>
        <v>40571.94612612616</v>
      </c>
      <c r="K73" s="13">
        <v>8.2638888888888887E-2</v>
      </c>
      <c r="L73" s="9">
        <v>46055</v>
      </c>
    </row>
    <row r="74" spans="1:12" x14ac:dyDescent="0.3">
      <c r="A74" s="8" t="s">
        <v>149</v>
      </c>
      <c r="B74" s="8" t="s">
        <v>150</v>
      </c>
      <c r="C74" s="8" t="s">
        <v>11</v>
      </c>
      <c r="D74" s="8" t="s">
        <v>80</v>
      </c>
      <c r="E74" s="12">
        <v>68860.399999999994</v>
      </c>
      <c r="F74" s="7">
        <v>43508</v>
      </c>
      <c r="G74" s="8">
        <v>0.4</v>
      </c>
      <c r="H74" s="8" t="s">
        <v>13</v>
      </c>
      <c r="I74" s="8" t="s">
        <v>55</v>
      </c>
      <c r="J74" s="23">
        <f>Salary__2[[#This Row],[Salary]]-$O$16</f>
        <v>-4183.8838738738414</v>
      </c>
      <c r="K74" s="13">
        <v>0.53125</v>
      </c>
      <c r="L74" s="9">
        <v>46055</v>
      </c>
    </row>
    <row r="75" spans="1:12" x14ac:dyDescent="0.3">
      <c r="A75" s="8" t="s">
        <v>270</v>
      </c>
      <c r="B75" s="8" t="s">
        <v>582</v>
      </c>
      <c r="C75" s="8" t="s">
        <v>11</v>
      </c>
      <c r="D75" s="8" t="s">
        <v>18</v>
      </c>
      <c r="E75" s="12">
        <v>71371.37</v>
      </c>
      <c r="F75" s="7">
        <v>43392</v>
      </c>
      <c r="G75" s="8">
        <v>1</v>
      </c>
      <c r="H75" s="8" t="s">
        <v>13</v>
      </c>
      <c r="I75" s="8" t="s">
        <v>30</v>
      </c>
      <c r="J75" s="23">
        <f>Salary__2[[#This Row],[Salary]]-$O$16</f>
        <v>-1672.9138738738402</v>
      </c>
      <c r="K75" s="13">
        <v>0.36666666666666664</v>
      </c>
      <c r="L75" s="9">
        <v>46055</v>
      </c>
    </row>
    <row r="76" spans="1:12" x14ac:dyDescent="0.3">
      <c r="A76" s="8" t="s">
        <v>425</v>
      </c>
      <c r="B76" s="8" t="s">
        <v>426</v>
      </c>
      <c r="C76" s="8" t="s">
        <v>17</v>
      </c>
      <c r="D76" s="8" t="s">
        <v>22</v>
      </c>
      <c r="E76" s="12">
        <v>32269.91</v>
      </c>
      <c r="F76" s="7">
        <v>43346</v>
      </c>
      <c r="G76" s="8">
        <v>1</v>
      </c>
      <c r="H76" s="8" t="s">
        <v>13</v>
      </c>
      <c r="I76" s="8" t="s">
        <v>14</v>
      </c>
      <c r="J76" s="23">
        <f>Salary__2[[#This Row],[Salary]]-$O$16</f>
        <v>-40774.373873873832</v>
      </c>
      <c r="K76" s="13">
        <v>0.36666666666666664</v>
      </c>
      <c r="L76" s="9">
        <v>46055</v>
      </c>
    </row>
    <row r="77" spans="1:12" x14ac:dyDescent="0.3">
      <c r="A77" s="8" t="s">
        <v>328</v>
      </c>
      <c r="B77" s="8" t="s">
        <v>329</v>
      </c>
      <c r="C77" s="8" t="s">
        <v>11</v>
      </c>
      <c r="D77" s="8" t="s">
        <v>93</v>
      </c>
      <c r="E77" s="12">
        <v>31241.24</v>
      </c>
      <c r="F77" s="7">
        <v>43725</v>
      </c>
      <c r="G77" s="8">
        <v>1</v>
      </c>
      <c r="H77" s="8" t="s">
        <v>13</v>
      </c>
      <c r="I77" s="8" t="s">
        <v>14</v>
      </c>
      <c r="J77" s="23">
        <f>Salary__2[[#This Row],[Salary]]-$O$16</f>
        <v>-41803.04387387383</v>
      </c>
      <c r="K77" s="13">
        <v>9.930555555555555E-2</v>
      </c>
      <c r="L77" s="9">
        <v>46055</v>
      </c>
    </row>
    <row r="78" spans="1:12" x14ac:dyDescent="0.3">
      <c r="A78" s="8" t="s">
        <v>38</v>
      </c>
      <c r="B78" s="8" t="s">
        <v>39</v>
      </c>
      <c r="C78" s="8" t="s">
        <v>17</v>
      </c>
      <c r="D78" s="8" t="s">
        <v>40</v>
      </c>
      <c r="E78" s="12">
        <v>66017.179999999993</v>
      </c>
      <c r="F78" s="7">
        <v>43643</v>
      </c>
      <c r="G78" s="8">
        <v>0.9</v>
      </c>
      <c r="H78" s="8" t="s">
        <v>13</v>
      </c>
      <c r="I78" s="8" t="s">
        <v>14</v>
      </c>
      <c r="J78" s="23">
        <f>Salary__2[[#This Row],[Salary]]-$O$16</f>
        <v>-7027.1038738738425</v>
      </c>
      <c r="K78" s="13">
        <v>8.2638888888888887E-2</v>
      </c>
      <c r="L78" s="9">
        <v>46060</v>
      </c>
    </row>
    <row r="79" spans="1:12" x14ac:dyDescent="0.3">
      <c r="A79" s="8" t="s">
        <v>317</v>
      </c>
      <c r="B79" s="8" t="s">
        <v>592</v>
      </c>
      <c r="C79" s="8" t="s">
        <v>11</v>
      </c>
      <c r="D79" s="8" t="s">
        <v>93</v>
      </c>
      <c r="E79" s="12">
        <v>40445.29</v>
      </c>
      <c r="F79" s="7">
        <v>44393</v>
      </c>
      <c r="G79" s="8">
        <v>1</v>
      </c>
      <c r="H79" s="8" t="s">
        <v>13</v>
      </c>
      <c r="I79" s="8" t="s">
        <v>66</v>
      </c>
      <c r="J79" s="23">
        <f>Salary__2[[#This Row],[Salary]]-$O$16</f>
        <v>-32598.993873873835</v>
      </c>
      <c r="K79" s="13">
        <v>0.53125</v>
      </c>
      <c r="L79" s="9">
        <v>46061</v>
      </c>
    </row>
    <row r="80" spans="1:12" x14ac:dyDescent="0.3">
      <c r="A80" s="8" t="s">
        <v>496</v>
      </c>
      <c r="B80" s="8" t="s">
        <v>497</v>
      </c>
      <c r="C80" s="8" t="s">
        <v>11</v>
      </c>
      <c r="D80" s="8" t="s">
        <v>74</v>
      </c>
      <c r="E80" s="12">
        <v>103494.94</v>
      </c>
      <c r="F80" s="7">
        <v>43256</v>
      </c>
      <c r="G80" s="8">
        <v>1</v>
      </c>
      <c r="H80" s="8" t="s">
        <v>13</v>
      </c>
      <c r="I80" s="8" t="s">
        <v>14</v>
      </c>
      <c r="J80" s="23">
        <f>Salary__2[[#This Row],[Salary]]-$O$16</f>
        <v>30450.656126126167</v>
      </c>
      <c r="K80" s="13">
        <v>0.57291666666666696</v>
      </c>
      <c r="L80" s="9"/>
    </row>
    <row r="81" spans="1:12" x14ac:dyDescent="0.3">
      <c r="A81" s="8" t="s">
        <v>418</v>
      </c>
      <c r="B81" s="8" t="s">
        <v>419</v>
      </c>
      <c r="C81" s="8" t="s">
        <v>17</v>
      </c>
      <c r="D81" s="8" t="s">
        <v>637</v>
      </c>
      <c r="E81" s="12">
        <v>118442.54</v>
      </c>
      <c r="F81" s="7">
        <v>44193</v>
      </c>
      <c r="G81" s="8">
        <v>1</v>
      </c>
      <c r="H81" s="8" t="s">
        <v>13</v>
      </c>
      <c r="I81" s="8" t="s">
        <v>60</v>
      </c>
      <c r="J81" s="23">
        <f>Salary__2[[#This Row],[Salary]]-$O$16</f>
        <v>45398.256126126158</v>
      </c>
      <c r="K81" s="13">
        <v>0.61458333333333304</v>
      </c>
      <c r="L81" s="9"/>
    </row>
    <row r="82" spans="1:12" x14ac:dyDescent="0.3">
      <c r="A82" s="8" t="s">
        <v>258</v>
      </c>
      <c r="B82" s="8" t="s">
        <v>259</v>
      </c>
      <c r="C82" s="8" t="s">
        <v>17</v>
      </c>
      <c r="D82" s="8" t="s">
        <v>77</v>
      </c>
      <c r="E82" s="12">
        <v>44845.33</v>
      </c>
      <c r="F82" s="7">
        <v>43277</v>
      </c>
      <c r="G82" s="8">
        <v>1</v>
      </c>
      <c r="H82" s="8" t="s">
        <v>13</v>
      </c>
      <c r="I82" s="8" t="s">
        <v>19</v>
      </c>
      <c r="J82" s="23">
        <f>Salary__2[[#This Row],[Salary]]-$O$16</f>
        <v>-28198.953873873834</v>
      </c>
      <c r="K82" s="13">
        <v>0.65625</v>
      </c>
      <c r="L82" s="9"/>
    </row>
    <row r="83" spans="1:12" x14ac:dyDescent="0.3">
      <c r="A83" s="8" t="s">
        <v>155</v>
      </c>
      <c r="B83" s="8" t="s">
        <v>156</v>
      </c>
      <c r="C83" s="8" t="s">
        <v>11</v>
      </c>
      <c r="D83" s="8" t="s">
        <v>43</v>
      </c>
      <c r="E83" s="12">
        <v>85455.53</v>
      </c>
      <c r="F83" s="7">
        <v>43839</v>
      </c>
      <c r="G83" s="8">
        <v>1</v>
      </c>
      <c r="H83" s="8" t="s">
        <v>13</v>
      </c>
      <c r="I83" s="8" t="s">
        <v>35</v>
      </c>
      <c r="J83" s="23">
        <f>Salary__2[[#This Row],[Salary]]-$O$16</f>
        <v>12411.246126126163</v>
      </c>
      <c r="K83" s="13">
        <v>0.69791666666666696</v>
      </c>
      <c r="L83" s="9"/>
    </row>
    <row r="84" spans="1:12" x14ac:dyDescent="0.3">
      <c r="A84" s="8" t="s">
        <v>491</v>
      </c>
      <c r="B84" s="8" t="s">
        <v>492</v>
      </c>
      <c r="C84" s="8" t="s">
        <v>11</v>
      </c>
      <c r="D84" s="8" t="s">
        <v>74</v>
      </c>
      <c r="E84" s="12">
        <v>69862.38</v>
      </c>
      <c r="F84" s="7">
        <v>43458</v>
      </c>
      <c r="G84" s="8">
        <v>1</v>
      </c>
      <c r="H84" s="8" t="s">
        <v>13</v>
      </c>
      <c r="I84" s="8" t="s">
        <v>35</v>
      </c>
      <c r="J84" s="23">
        <f>Salary__2[[#This Row],[Salary]]-$O$16</f>
        <v>-3181.9038738738309</v>
      </c>
      <c r="K84" s="13">
        <v>0.73958333333333504</v>
      </c>
      <c r="L84" s="9"/>
    </row>
    <row r="85" spans="1:12" x14ac:dyDescent="0.3">
      <c r="A85" s="8" t="s">
        <v>386</v>
      </c>
      <c r="B85" s="8" t="s">
        <v>607</v>
      </c>
      <c r="C85" s="8" t="s">
        <v>11</v>
      </c>
      <c r="D85" s="8" t="s">
        <v>77</v>
      </c>
      <c r="E85" s="12">
        <v>52270.22</v>
      </c>
      <c r="F85" s="7">
        <v>43521</v>
      </c>
      <c r="G85" s="8">
        <v>0.3</v>
      </c>
      <c r="H85" s="8" t="s">
        <v>13</v>
      </c>
      <c r="I85" s="8" t="s">
        <v>66</v>
      </c>
      <c r="J85" s="23">
        <f>Salary__2[[#This Row],[Salary]]-$O$16</f>
        <v>-20774.063873873834</v>
      </c>
      <c r="K85" s="13">
        <v>0.781250000000002</v>
      </c>
      <c r="L85" s="9"/>
    </row>
    <row r="86" spans="1:12" x14ac:dyDescent="0.3">
      <c r="A86" s="8" t="s">
        <v>480</v>
      </c>
      <c r="B86" s="8" t="s">
        <v>481</v>
      </c>
      <c r="C86" s="8" t="s">
        <v>17</v>
      </c>
      <c r="D86" s="8" t="s">
        <v>25</v>
      </c>
      <c r="E86" s="12">
        <v>99965.97</v>
      </c>
      <c r="F86" s="7">
        <v>43133</v>
      </c>
      <c r="G86" s="8">
        <v>1</v>
      </c>
      <c r="H86" s="8" t="s">
        <v>13</v>
      </c>
      <c r="I86" s="8" t="s">
        <v>14</v>
      </c>
      <c r="J86" s="23">
        <f>Salary__2[[#This Row],[Salary]]-$O$16</f>
        <v>26921.686126126166</v>
      </c>
      <c r="K86" s="13">
        <v>0.82291666666666896</v>
      </c>
      <c r="L86" s="9"/>
    </row>
    <row r="87" spans="1:12" x14ac:dyDescent="0.3">
      <c r="A87" s="8" t="s">
        <v>160</v>
      </c>
      <c r="B87" s="8" t="s">
        <v>161</v>
      </c>
      <c r="C87" s="8" t="s">
        <v>11</v>
      </c>
      <c r="D87" s="8" t="s">
        <v>33</v>
      </c>
      <c r="E87" s="12">
        <v>50855.53</v>
      </c>
      <c r="F87" s="7">
        <v>44221</v>
      </c>
      <c r="G87" s="8">
        <v>1</v>
      </c>
      <c r="H87" s="8" t="s">
        <v>13</v>
      </c>
      <c r="I87" s="8" t="s">
        <v>35</v>
      </c>
      <c r="J87" s="23">
        <f>Salary__2[[#This Row],[Salary]]-$O$16</f>
        <v>-22188.753873873837</v>
      </c>
      <c r="K87" s="13">
        <v>0.86458333333333603</v>
      </c>
      <c r="L87" s="9"/>
    </row>
    <row r="88" spans="1:12" x14ac:dyDescent="0.3">
      <c r="A88" s="8" t="s">
        <v>100</v>
      </c>
      <c r="B88" s="8" t="s">
        <v>101</v>
      </c>
      <c r="C88" s="8" t="s">
        <v>11</v>
      </c>
      <c r="D88" s="8" t="s">
        <v>18</v>
      </c>
      <c r="E88" s="12">
        <v>90884.32</v>
      </c>
      <c r="F88" s="7">
        <v>43826</v>
      </c>
      <c r="G88" s="8">
        <v>1</v>
      </c>
      <c r="H88" s="8" t="s">
        <v>13</v>
      </c>
      <c r="I88" s="8" t="s">
        <v>55</v>
      </c>
      <c r="J88" s="23">
        <f>Salary__2[[#This Row],[Salary]]-$O$16</f>
        <v>17840.036126126171</v>
      </c>
      <c r="K88" s="13">
        <v>0.906250000000003</v>
      </c>
      <c r="L88" s="9"/>
    </row>
    <row r="89" spans="1:12" x14ac:dyDescent="0.3">
      <c r="A89" s="8" t="s">
        <v>517</v>
      </c>
      <c r="B89" s="8" t="s">
        <v>518</v>
      </c>
      <c r="C89" s="8" t="s">
        <v>17</v>
      </c>
      <c r="D89" s="8" t="s">
        <v>25</v>
      </c>
      <c r="E89" s="12">
        <v>56253.81</v>
      </c>
      <c r="F89" s="7">
        <v>44421</v>
      </c>
      <c r="G89" s="8">
        <v>1</v>
      </c>
      <c r="H89" s="8" t="s">
        <v>13</v>
      </c>
      <c r="I89" s="8" t="s">
        <v>60</v>
      </c>
      <c r="J89" s="23">
        <f>Salary__2[[#This Row],[Salary]]-$O$16</f>
        <v>-16790.473873873838</v>
      </c>
      <c r="K89" s="13">
        <v>0.94791666666666996</v>
      </c>
      <c r="L89" s="9"/>
    </row>
    <row r="90" spans="1:12" x14ac:dyDescent="0.3">
      <c r="A90" s="8" t="s">
        <v>520</v>
      </c>
      <c r="B90" s="8" t="s">
        <v>628</v>
      </c>
      <c r="C90" s="8" t="s">
        <v>17</v>
      </c>
      <c r="D90" s="8" t="s">
        <v>93</v>
      </c>
      <c r="E90" s="12">
        <v>51798.25</v>
      </c>
      <c r="F90" s="7">
        <v>43665</v>
      </c>
      <c r="G90" s="8">
        <v>1</v>
      </c>
      <c r="H90" s="8" t="s">
        <v>13</v>
      </c>
      <c r="I90" s="8" t="s">
        <v>30</v>
      </c>
      <c r="J90" s="23">
        <f>Salary__2[[#This Row],[Salary]]-$O$16</f>
        <v>-21246.033873873836</v>
      </c>
      <c r="K90" s="13">
        <v>0.98958333333333703</v>
      </c>
      <c r="L90" s="9"/>
    </row>
    <row r="91" spans="1:12" x14ac:dyDescent="0.3">
      <c r="A91" s="8" t="s">
        <v>514</v>
      </c>
      <c r="B91" s="8" t="s">
        <v>515</v>
      </c>
      <c r="C91" s="8" t="s">
        <v>17</v>
      </c>
      <c r="D91" s="8" t="s">
        <v>637</v>
      </c>
      <c r="E91" s="12">
        <v>114772.32</v>
      </c>
      <c r="F91" s="7">
        <v>44251</v>
      </c>
      <c r="G91" s="8">
        <v>1</v>
      </c>
      <c r="H91" s="8" t="s">
        <v>13</v>
      </c>
      <c r="I91" s="8" t="s">
        <v>55</v>
      </c>
      <c r="J91" s="23">
        <f>Salary__2[[#This Row],[Salary]]-$O$16</f>
        <v>41728.036126126171</v>
      </c>
      <c r="K91" s="13">
        <v>1.03125</v>
      </c>
      <c r="L91" s="9"/>
    </row>
    <row r="92" spans="1:12" x14ac:dyDescent="0.3">
      <c r="A92" s="8" t="s">
        <v>340</v>
      </c>
      <c r="B92" s="8" t="s">
        <v>341</v>
      </c>
      <c r="C92" s="8" t="s">
        <v>11</v>
      </c>
      <c r="D92" s="8" t="s">
        <v>40</v>
      </c>
      <c r="E92" s="12">
        <v>89605.13</v>
      </c>
      <c r="F92" s="7">
        <v>43258</v>
      </c>
      <c r="G92" s="8">
        <v>1</v>
      </c>
      <c r="H92" s="8" t="s">
        <v>13</v>
      </c>
      <c r="I92" s="8" t="s">
        <v>19</v>
      </c>
      <c r="J92" s="23">
        <f>Salary__2[[#This Row],[Salary]]-$O$16</f>
        <v>16560.846126126169</v>
      </c>
      <c r="K92" s="13">
        <v>1.0729166666666701</v>
      </c>
      <c r="L92" s="9"/>
    </row>
    <row r="93" spans="1:12" x14ac:dyDescent="0.3">
      <c r="A93" s="8" t="s">
        <v>368</v>
      </c>
      <c r="B93" s="8" t="s">
        <v>603</v>
      </c>
      <c r="C93" s="8" t="s">
        <v>17</v>
      </c>
      <c r="D93" s="8" t="s">
        <v>33</v>
      </c>
      <c r="E93" s="12">
        <v>88425.08</v>
      </c>
      <c r="F93" s="7">
        <v>43662</v>
      </c>
      <c r="G93" s="8">
        <v>1</v>
      </c>
      <c r="H93" s="8" t="s">
        <v>13</v>
      </c>
      <c r="I93" s="8" t="s">
        <v>30</v>
      </c>
      <c r="J93" s="23">
        <f>Salary__2[[#This Row],[Salary]]-$O$16</f>
        <v>15380.796126126166</v>
      </c>
      <c r="K93" s="13">
        <v>1.1145833333333399</v>
      </c>
    </row>
    <row r="94" spans="1:12" x14ac:dyDescent="0.3">
      <c r="A94" s="8" t="s">
        <v>388</v>
      </c>
      <c r="B94" s="8" t="s">
        <v>609</v>
      </c>
      <c r="C94" s="8" t="s">
        <v>17</v>
      </c>
      <c r="D94" s="8" t="s">
        <v>40</v>
      </c>
      <c r="E94" s="12">
        <v>104903.79</v>
      </c>
      <c r="F94" s="7">
        <v>43649</v>
      </c>
      <c r="G94" s="8">
        <v>1</v>
      </c>
      <c r="H94" s="8" t="s">
        <v>13</v>
      </c>
      <c r="I94" s="8" t="s">
        <v>66</v>
      </c>
      <c r="J94" s="23">
        <f>Salary__2[[#This Row],[Salary]]-$O$16</f>
        <v>31859.506126126158</v>
      </c>
      <c r="K94" s="13">
        <v>1.15625</v>
      </c>
    </row>
    <row r="95" spans="1:12" x14ac:dyDescent="0.3">
      <c r="A95" s="8" t="s">
        <v>179</v>
      </c>
      <c r="B95" s="8" t="s">
        <v>180</v>
      </c>
      <c r="C95" s="8" t="s">
        <v>17</v>
      </c>
      <c r="D95" s="8" t="s">
        <v>22</v>
      </c>
      <c r="E95" s="12">
        <v>69057.320000000007</v>
      </c>
      <c r="F95" s="7">
        <v>43390</v>
      </c>
      <c r="G95" s="8">
        <v>1</v>
      </c>
      <c r="H95" s="8" t="s">
        <v>13</v>
      </c>
      <c r="I95" s="8" t="s">
        <v>35</v>
      </c>
      <c r="J95" s="23">
        <f>Salary__2[[#This Row],[Salary]]-$O$16</f>
        <v>-3986.9638738738286</v>
      </c>
      <c r="K95" s="13">
        <v>1.1979166666666701</v>
      </c>
    </row>
    <row r="96" spans="1:12" x14ac:dyDescent="0.3">
      <c r="A96" s="8" t="s">
        <v>505</v>
      </c>
      <c r="B96" s="8" t="s">
        <v>624</v>
      </c>
      <c r="C96" s="8" t="s">
        <v>11</v>
      </c>
      <c r="D96" s="8" t="s">
        <v>93</v>
      </c>
      <c r="E96" s="12">
        <v>77743.149999999994</v>
      </c>
      <c r="F96" s="7">
        <v>43920</v>
      </c>
      <c r="G96" s="8">
        <v>1</v>
      </c>
      <c r="H96" s="8" t="s">
        <v>13</v>
      </c>
      <c r="I96" s="8" t="s">
        <v>66</v>
      </c>
      <c r="J96" s="23">
        <f>Salary__2[[#This Row],[Salary]]-$O$16</f>
        <v>4698.8661261261586</v>
      </c>
      <c r="K96" s="13">
        <v>1.2395833333333399</v>
      </c>
    </row>
    <row r="97" spans="1:11" x14ac:dyDescent="0.3">
      <c r="A97" s="8" t="s">
        <v>338</v>
      </c>
      <c r="B97" s="8" t="s">
        <v>339</v>
      </c>
      <c r="C97" s="8" t="s">
        <v>11</v>
      </c>
      <c r="D97" s="8" t="s">
        <v>33</v>
      </c>
      <c r="E97" s="12">
        <v>108872.77</v>
      </c>
      <c r="F97" s="7">
        <v>43521</v>
      </c>
      <c r="G97" s="8">
        <v>1</v>
      </c>
      <c r="H97" s="8" t="s">
        <v>13</v>
      </c>
      <c r="I97" s="8" t="s">
        <v>14</v>
      </c>
      <c r="J97" s="23">
        <f>Salary__2[[#This Row],[Salary]]-$O$16</f>
        <v>35828.486126126169</v>
      </c>
      <c r="K97" s="13">
        <v>1.28125</v>
      </c>
    </row>
    <row r="98" spans="1:11" x14ac:dyDescent="0.3">
      <c r="A98" s="8" t="s">
        <v>283</v>
      </c>
      <c r="B98" s="8" t="s">
        <v>284</v>
      </c>
      <c r="C98" s="8" t="s">
        <v>17</v>
      </c>
      <c r="D98" s="8" t="s">
        <v>77</v>
      </c>
      <c r="E98" s="12">
        <v>68887.839999999997</v>
      </c>
      <c r="F98" s="7">
        <v>43297</v>
      </c>
      <c r="G98" s="8">
        <v>1</v>
      </c>
      <c r="H98" s="8" t="s">
        <v>13</v>
      </c>
      <c r="I98" s="8" t="s">
        <v>14</v>
      </c>
      <c r="J98" s="23">
        <f>Salary__2[[#This Row],[Salary]]-$O$16</f>
        <v>-4156.443873873839</v>
      </c>
      <c r="K98" s="13">
        <v>1.3229166666666701</v>
      </c>
    </row>
    <row r="99" spans="1:11" x14ac:dyDescent="0.3">
      <c r="A99" s="8" t="s">
        <v>184</v>
      </c>
      <c r="B99" s="8" t="s">
        <v>185</v>
      </c>
      <c r="C99" s="8" t="s">
        <v>17</v>
      </c>
      <c r="D99" s="8" t="s">
        <v>93</v>
      </c>
      <c r="E99" s="12">
        <v>66865.490000000005</v>
      </c>
      <c r="F99" s="7">
        <v>43514</v>
      </c>
      <c r="G99" s="8">
        <v>1</v>
      </c>
      <c r="H99" s="8" t="s">
        <v>13</v>
      </c>
      <c r="I99" s="8" t="s">
        <v>19</v>
      </c>
      <c r="J99" s="23">
        <f>Salary__2[[#This Row],[Salary]]-$O$16</f>
        <v>-6178.7938738738303</v>
      </c>
      <c r="K99" s="13">
        <v>1.3645833333333399</v>
      </c>
    </row>
    <row r="100" spans="1:11" x14ac:dyDescent="0.3">
      <c r="A100" s="8" t="s">
        <v>382</v>
      </c>
      <c r="B100" s="8" t="s">
        <v>383</v>
      </c>
      <c r="C100" s="8" t="s">
        <v>17</v>
      </c>
      <c r="D100" s="8" t="s">
        <v>74</v>
      </c>
      <c r="E100" s="12">
        <v>100731.95</v>
      </c>
      <c r="F100" s="7">
        <v>43936</v>
      </c>
      <c r="G100" s="8">
        <v>1</v>
      </c>
      <c r="H100" s="8" t="s">
        <v>13</v>
      </c>
      <c r="I100" s="8" t="s">
        <v>60</v>
      </c>
      <c r="J100" s="23">
        <f>Salary__2[[#This Row],[Salary]]-$O$16</f>
        <v>27687.666126126162</v>
      </c>
      <c r="K100" s="13">
        <v>1.40625000000001</v>
      </c>
    </row>
    <row r="101" spans="1:11" x14ac:dyDescent="0.3">
      <c r="A101" s="8" t="s">
        <v>478</v>
      </c>
      <c r="B101" s="8" t="s">
        <v>479</v>
      </c>
      <c r="C101" s="8" t="s">
        <v>17</v>
      </c>
      <c r="D101" s="8" t="s">
        <v>80</v>
      </c>
      <c r="E101" s="12">
        <v>102129.37</v>
      </c>
      <c r="F101" s="7">
        <v>44396</v>
      </c>
      <c r="G101" s="8">
        <v>1</v>
      </c>
      <c r="H101" s="8" t="s">
        <v>13</v>
      </c>
      <c r="I101" s="8" t="s">
        <v>55</v>
      </c>
      <c r="J101" s="23">
        <f>Salary__2[[#This Row],[Salary]]-$O$16</f>
        <v>29085.08612612616</v>
      </c>
      <c r="K101" s="13">
        <v>1.4479166666666701</v>
      </c>
    </row>
    <row r="102" spans="1:11" x14ac:dyDescent="0.3">
      <c r="A102" s="8" t="s">
        <v>243</v>
      </c>
      <c r="B102" s="8" t="s">
        <v>578</v>
      </c>
      <c r="C102" s="8" t="s">
        <v>17</v>
      </c>
      <c r="D102" s="8" t="s">
        <v>99</v>
      </c>
      <c r="E102" s="12">
        <v>75733.740000000005</v>
      </c>
      <c r="F102" s="7">
        <v>44382</v>
      </c>
      <c r="G102" s="8">
        <v>1</v>
      </c>
      <c r="H102" s="8" t="s">
        <v>13</v>
      </c>
      <c r="I102" s="8" t="s">
        <v>30</v>
      </c>
      <c r="J102" s="23">
        <f>Salary__2[[#This Row],[Salary]]-$O$16</f>
        <v>2689.4561261261697</v>
      </c>
      <c r="K102" s="13">
        <v>1.4895833333333399</v>
      </c>
    </row>
    <row r="103" spans="1:11" x14ac:dyDescent="0.3">
      <c r="A103" s="8" t="s">
        <v>551</v>
      </c>
      <c r="B103" s="8" t="s">
        <v>552</v>
      </c>
      <c r="C103" s="8" t="s">
        <v>17</v>
      </c>
      <c r="D103" s="8" t="s">
        <v>80</v>
      </c>
      <c r="E103" s="12">
        <v>78020.39</v>
      </c>
      <c r="F103" s="7">
        <v>43899</v>
      </c>
      <c r="G103" s="8">
        <v>1</v>
      </c>
      <c r="H103" s="8" t="s">
        <v>13</v>
      </c>
      <c r="I103" s="8" t="s">
        <v>14</v>
      </c>
      <c r="J103" s="23">
        <f>Salary__2[[#This Row],[Salary]]-$O$16</f>
        <v>4976.1061261261639</v>
      </c>
      <c r="K103" s="13">
        <v>1.53125000000001</v>
      </c>
    </row>
    <row r="104" spans="1:11" x14ac:dyDescent="0.3">
      <c r="A104" s="8" t="s">
        <v>305</v>
      </c>
      <c r="B104" s="8" t="s">
        <v>590</v>
      </c>
      <c r="C104" s="8" t="s">
        <v>17</v>
      </c>
      <c r="D104" s="8" t="s">
        <v>25</v>
      </c>
      <c r="E104" s="12">
        <v>95677.9</v>
      </c>
      <c r="F104" s="7">
        <v>44396</v>
      </c>
      <c r="G104" s="8">
        <v>0.3</v>
      </c>
      <c r="H104" s="8" t="s">
        <v>13</v>
      </c>
      <c r="I104" s="8" t="s">
        <v>66</v>
      </c>
      <c r="J104" s="23">
        <f>Salary__2[[#This Row],[Salary]]-$O$16</f>
        <v>22633.616126126159</v>
      </c>
      <c r="K104" s="13">
        <v>1.5729166666666701</v>
      </c>
    </row>
    <row r="105" spans="1:11" x14ac:dyDescent="0.3">
      <c r="A105" s="8" t="s">
        <v>393</v>
      </c>
      <c r="B105" s="8" t="s">
        <v>394</v>
      </c>
      <c r="C105" s="8" t="s">
        <v>11</v>
      </c>
      <c r="D105" s="8" t="s">
        <v>637</v>
      </c>
      <c r="E105" s="12">
        <v>109143.17</v>
      </c>
      <c r="F105" s="7">
        <v>43945</v>
      </c>
      <c r="G105" s="8">
        <v>1</v>
      </c>
      <c r="H105" s="8" t="s">
        <v>13</v>
      </c>
      <c r="I105" s="8" t="s">
        <v>35</v>
      </c>
      <c r="J105" s="23">
        <f>Salary__2[[#This Row],[Salary]]-$O$16</f>
        <v>36098.886126126163</v>
      </c>
      <c r="K105" s="13">
        <v>1.6145833333333399</v>
      </c>
    </row>
    <row r="106" spans="1:11" x14ac:dyDescent="0.3">
      <c r="A106" s="8" t="s">
        <v>448</v>
      </c>
      <c r="B106" s="8" t="s">
        <v>449</v>
      </c>
      <c r="C106" s="8" t="s">
        <v>17</v>
      </c>
      <c r="D106" s="8" t="s">
        <v>22</v>
      </c>
      <c r="E106" s="12">
        <v>28305.08</v>
      </c>
      <c r="F106" s="7">
        <v>43754</v>
      </c>
      <c r="G106" s="8">
        <v>1</v>
      </c>
      <c r="H106" s="8" t="s">
        <v>13</v>
      </c>
      <c r="I106" s="8" t="s">
        <v>14</v>
      </c>
      <c r="J106" s="23">
        <f>Salary__2[[#This Row],[Salary]]-$O$16</f>
        <v>-44739.203873873834</v>
      </c>
      <c r="K106" s="13">
        <v>1.65625000000001</v>
      </c>
    </row>
    <row r="107" spans="1:11" x14ac:dyDescent="0.3">
      <c r="A107" s="8" t="s">
        <v>252</v>
      </c>
      <c r="B107" s="8" t="s">
        <v>580</v>
      </c>
      <c r="C107" s="8" t="s">
        <v>11</v>
      </c>
      <c r="D107" s="8" t="s">
        <v>40</v>
      </c>
      <c r="E107" s="12">
        <v>76932.600000000006</v>
      </c>
      <c r="F107" s="7">
        <v>43493</v>
      </c>
      <c r="G107" s="8">
        <v>1</v>
      </c>
      <c r="H107" s="8" t="s">
        <v>13</v>
      </c>
      <c r="I107" s="8" t="s">
        <v>30</v>
      </c>
      <c r="J107" s="23">
        <f>Salary__2[[#This Row],[Salary]]-$O$16</f>
        <v>3888.3161261261703</v>
      </c>
      <c r="K107" s="13">
        <v>1.6979166666666701</v>
      </c>
    </row>
    <row r="108" spans="1:11" x14ac:dyDescent="0.3">
      <c r="A108" s="8" t="s">
        <v>70</v>
      </c>
      <c r="B108" s="8" t="s">
        <v>71</v>
      </c>
      <c r="C108" s="8" t="s">
        <v>11</v>
      </c>
      <c r="D108" s="8" t="s">
        <v>22</v>
      </c>
      <c r="E108" s="12">
        <v>69913.39</v>
      </c>
      <c r="F108" s="7">
        <v>43584</v>
      </c>
      <c r="G108" s="8">
        <v>1</v>
      </c>
      <c r="H108" s="8" t="s">
        <v>13</v>
      </c>
      <c r="I108" s="8" t="s">
        <v>14</v>
      </c>
      <c r="J108" s="23">
        <f>Salary__2[[#This Row],[Salary]]-$O$16</f>
        <v>-3130.8938738738361</v>
      </c>
      <c r="K108" s="13">
        <v>1.7395833333333399</v>
      </c>
    </row>
    <row r="109" spans="1:11" x14ac:dyDescent="0.3">
      <c r="A109" s="8" t="s">
        <v>287</v>
      </c>
      <c r="B109" s="8" t="s">
        <v>288</v>
      </c>
      <c r="C109" s="8" t="s">
        <v>11</v>
      </c>
      <c r="D109" s="8" t="s">
        <v>93</v>
      </c>
      <c r="E109" s="12">
        <v>111229.47</v>
      </c>
      <c r="F109" s="7">
        <v>43402</v>
      </c>
      <c r="G109" s="8">
        <v>1</v>
      </c>
      <c r="H109" s="8" t="s">
        <v>13</v>
      </c>
      <c r="I109" s="8" t="s">
        <v>14</v>
      </c>
      <c r="J109" s="23">
        <f>Salary__2[[#This Row],[Salary]]-$O$16</f>
        <v>38185.186126126166</v>
      </c>
      <c r="K109" s="13">
        <v>1.78125000000001</v>
      </c>
    </row>
    <row r="110" spans="1:11" x14ac:dyDescent="0.3">
      <c r="A110" s="8" t="s">
        <v>20</v>
      </c>
      <c r="B110" s="8" t="s">
        <v>21</v>
      </c>
      <c r="C110" s="8" t="s">
        <v>17</v>
      </c>
      <c r="D110" s="8" t="s">
        <v>22</v>
      </c>
      <c r="E110" s="12">
        <v>120000</v>
      </c>
      <c r="F110" s="7">
        <v>43902</v>
      </c>
      <c r="G110" s="8">
        <v>0.9</v>
      </c>
      <c r="H110" s="8" t="s">
        <v>13</v>
      </c>
      <c r="I110" s="8" t="s">
        <v>14</v>
      </c>
      <c r="J110" s="23">
        <f>Salary__2[[#This Row],[Salary]]-$O$16</f>
        <v>46955.716126126164</v>
      </c>
      <c r="K110" s="13">
        <v>1.8229166666666801</v>
      </c>
    </row>
    <row r="111" spans="1:11" x14ac:dyDescent="0.3">
      <c r="A111" s="8" t="s">
        <v>532</v>
      </c>
      <c r="B111" s="8" t="s">
        <v>630</v>
      </c>
      <c r="C111" s="8" t="s">
        <v>17</v>
      </c>
      <c r="D111" s="8" t="s">
        <v>74</v>
      </c>
      <c r="E111" s="12">
        <v>85264.38</v>
      </c>
      <c r="F111" s="7">
        <v>43220</v>
      </c>
      <c r="G111" s="8">
        <v>1</v>
      </c>
      <c r="H111" s="8" t="s">
        <v>13</v>
      </c>
      <c r="I111" s="8" t="s">
        <v>66</v>
      </c>
      <c r="J111" s="23">
        <f>Salary__2[[#This Row],[Salary]]-$O$16</f>
        <v>12220.096126126169</v>
      </c>
      <c r="K111" s="13">
        <v>1.8645833333333399</v>
      </c>
    </row>
    <row r="112" spans="1:11" x14ac:dyDescent="0.3">
      <c r="A112" s="8" t="s">
        <v>348</v>
      </c>
      <c r="B112" s="8" t="s">
        <v>349</v>
      </c>
      <c r="C112" s="8" t="s">
        <v>11</v>
      </c>
      <c r="D112" s="8" t="s">
        <v>22</v>
      </c>
      <c r="E112" s="12">
        <v>100424.23</v>
      </c>
      <c r="F112" s="7">
        <v>43801</v>
      </c>
      <c r="G112" s="8">
        <v>1</v>
      </c>
      <c r="H112" s="8" t="s">
        <v>13</v>
      </c>
      <c r="I112" s="8" t="s">
        <v>60</v>
      </c>
      <c r="J112" s="23">
        <f>Salary__2[[#This Row],[Salary]]-$O$16</f>
        <v>27379.94612612616</v>
      </c>
      <c r="K112" s="13">
        <v>1.90625000000001</v>
      </c>
    </row>
    <row r="113" spans="1:11" x14ac:dyDescent="0.3">
      <c r="A113" s="8" t="s">
        <v>327</v>
      </c>
      <c r="B113" s="8" t="s">
        <v>596</v>
      </c>
      <c r="C113" s="8" t="s">
        <v>17</v>
      </c>
      <c r="D113" s="8" t="s">
        <v>37</v>
      </c>
      <c r="E113" s="12">
        <v>71924.850000000006</v>
      </c>
      <c r="F113" s="7">
        <v>43822</v>
      </c>
      <c r="G113" s="8">
        <v>1</v>
      </c>
      <c r="H113" s="8" t="s">
        <v>13</v>
      </c>
      <c r="I113" s="8" t="s">
        <v>66</v>
      </c>
      <c r="J113" s="23">
        <f>Salary__2[[#This Row],[Salary]]-$O$16</f>
        <v>-1119.4338738738297</v>
      </c>
      <c r="K113" s="13">
        <v>1.9479166666666801</v>
      </c>
    </row>
    <row r="114" spans="1:11" x14ac:dyDescent="0.3">
      <c r="A114" s="8" t="s">
        <v>363</v>
      </c>
      <c r="B114" s="8" t="s">
        <v>602</v>
      </c>
      <c r="C114" s="8" t="s">
        <v>17</v>
      </c>
      <c r="D114" s="8" t="s">
        <v>18</v>
      </c>
      <c r="E114" s="12">
        <v>61688.77</v>
      </c>
      <c r="F114" s="7">
        <v>43346</v>
      </c>
      <c r="G114" s="8">
        <v>0.9</v>
      </c>
      <c r="H114" s="8" t="s">
        <v>13</v>
      </c>
      <c r="I114" s="8" t="s">
        <v>66</v>
      </c>
      <c r="J114" s="23">
        <f>Salary__2[[#This Row],[Salary]]-$O$16</f>
        <v>-11355.513873873839</v>
      </c>
      <c r="K114" s="13">
        <v>1.9895833333333399</v>
      </c>
    </row>
    <row r="115" spans="1:11" x14ac:dyDescent="0.3">
      <c r="A115" s="8" t="s">
        <v>221</v>
      </c>
      <c r="B115" s="8" t="s">
        <v>222</v>
      </c>
      <c r="C115" s="8" t="s">
        <v>17</v>
      </c>
      <c r="D115" s="8" t="s">
        <v>93</v>
      </c>
      <c r="E115" s="12">
        <v>75475.929999999993</v>
      </c>
      <c r="F115" s="7">
        <v>43794</v>
      </c>
      <c r="G115" s="8">
        <v>1</v>
      </c>
      <c r="H115" s="8" t="s">
        <v>13</v>
      </c>
      <c r="I115" s="8" t="s">
        <v>14</v>
      </c>
      <c r="J115" s="23">
        <f>Salary__2[[#This Row],[Salary]]-$O$16</f>
        <v>2431.6461261261575</v>
      </c>
      <c r="K115" s="13">
        <v>2.0312500000000102</v>
      </c>
    </row>
    <row r="116" spans="1:11" x14ac:dyDescent="0.3">
      <c r="A116" s="8" t="s">
        <v>64</v>
      </c>
      <c r="B116" s="8" t="s">
        <v>555</v>
      </c>
      <c r="C116" s="8" t="s">
        <v>17</v>
      </c>
      <c r="D116" s="8" t="s">
        <v>25</v>
      </c>
      <c r="E116" s="12">
        <v>37902.35</v>
      </c>
      <c r="F116" s="7">
        <v>43823</v>
      </c>
      <c r="G116" s="8">
        <v>1</v>
      </c>
      <c r="H116" s="8" t="s">
        <v>13</v>
      </c>
      <c r="I116" s="8" t="s">
        <v>66</v>
      </c>
      <c r="J116" s="23">
        <f>Salary__2[[#This Row],[Salary]]-$O$16</f>
        <v>-35141.933873873837</v>
      </c>
      <c r="K116" s="13">
        <v>2.0729166666666798</v>
      </c>
    </row>
    <row r="117" spans="1:11" x14ac:dyDescent="0.3">
      <c r="A117" s="8" t="s">
        <v>137</v>
      </c>
      <c r="B117" s="8" t="s">
        <v>562</v>
      </c>
      <c r="C117" s="8" t="s">
        <v>17</v>
      </c>
      <c r="D117" s="8" t="s">
        <v>37</v>
      </c>
      <c r="E117" s="12">
        <v>63555.73</v>
      </c>
      <c r="F117" s="7">
        <v>44159</v>
      </c>
      <c r="G117" s="8">
        <v>1</v>
      </c>
      <c r="H117" s="8" t="s">
        <v>13</v>
      </c>
      <c r="I117" s="8" t="s">
        <v>66</v>
      </c>
      <c r="J117" s="23">
        <f>Salary__2[[#This Row],[Salary]]-$O$16</f>
        <v>-9488.5538738738323</v>
      </c>
      <c r="K117" s="13">
        <v>2.1145833333333401</v>
      </c>
    </row>
    <row r="118" spans="1:11" x14ac:dyDescent="0.3">
      <c r="A118" s="8" t="s">
        <v>460</v>
      </c>
      <c r="B118" s="8" t="s">
        <v>461</v>
      </c>
      <c r="C118" s="8" t="s">
        <v>17</v>
      </c>
      <c r="D118" s="8" t="s">
        <v>93</v>
      </c>
      <c r="E118" s="12">
        <v>68197.899999999994</v>
      </c>
      <c r="F118" s="7">
        <v>44119</v>
      </c>
      <c r="G118" s="8">
        <v>1</v>
      </c>
      <c r="H118" s="8" t="s">
        <v>13</v>
      </c>
      <c r="I118" s="8" t="s">
        <v>60</v>
      </c>
      <c r="J118" s="23">
        <f>Salary__2[[#This Row],[Salary]]-$O$16</f>
        <v>-4846.3838738738414</v>
      </c>
      <c r="K118" s="13">
        <v>2.1562500000000102</v>
      </c>
    </row>
    <row r="119" spans="1:11" x14ac:dyDescent="0.3">
      <c r="A119" s="8" t="s">
        <v>485</v>
      </c>
      <c r="B119" s="8" t="s">
        <v>486</v>
      </c>
      <c r="C119" s="8" t="s">
        <v>17</v>
      </c>
      <c r="D119" s="8" t="s">
        <v>33</v>
      </c>
      <c r="E119" s="12">
        <v>94815.28</v>
      </c>
      <c r="F119" s="7">
        <v>43440</v>
      </c>
      <c r="G119" s="8">
        <v>1</v>
      </c>
      <c r="H119" s="8" t="s">
        <v>13</v>
      </c>
      <c r="I119" s="8" t="s">
        <v>19</v>
      </c>
      <c r="J119" s="23">
        <f>Salary__2[[#This Row],[Salary]]-$O$16</f>
        <v>21770.996126126163</v>
      </c>
      <c r="K119" s="13">
        <v>2.1979166666666798</v>
      </c>
    </row>
    <row r="120" spans="1:11" x14ac:dyDescent="0.3">
      <c r="A120" s="8" t="s">
        <v>72</v>
      </c>
      <c r="B120" s="8" t="s">
        <v>556</v>
      </c>
      <c r="C120" s="8" t="s">
        <v>11</v>
      </c>
      <c r="D120" s="8" t="s">
        <v>43</v>
      </c>
      <c r="E120" s="12">
        <v>52748.63</v>
      </c>
      <c r="F120" s="7">
        <v>43857</v>
      </c>
      <c r="G120" s="8">
        <v>1</v>
      </c>
      <c r="H120" s="8" t="s">
        <v>13</v>
      </c>
      <c r="I120" s="8" t="s">
        <v>66</v>
      </c>
      <c r="J120" s="23">
        <f>Salary__2[[#This Row],[Salary]]-$O$16</f>
        <v>-20295.653873873838</v>
      </c>
      <c r="K120" s="13">
        <v>2.2395833333333499</v>
      </c>
    </row>
    <row r="121" spans="1:11" x14ac:dyDescent="0.3">
      <c r="A121" s="8" t="s">
        <v>413</v>
      </c>
      <c r="B121" s="8" t="s">
        <v>414</v>
      </c>
      <c r="C121" s="8" t="s">
        <v>17</v>
      </c>
      <c r="D121" s="8" t="s">
        <v>22</v>
      </c>
      <c r="E121" s="12">
        <v>109163.39</v>
      </c>
      <c r="F121" s="7">
        <v>44019</v>
      </c>
      <c r="G121" s="8">
        <v>0.8</v>
      </c>
      <c r="H121" s="8" t="s">
        <v>13</v>
      </c>
      <c r="I121" s="8" t="s">
        <v>19</v>
      </c>
      <c r="J121" s="23">
        <f>Salary__2[[#This Row],[Salary]]-$O$16</f>
        <v>36119.106126126164</v>
      </c>
      <c r="K121" s="13">
        <v>2.2812500000000102</v>
      </c>
    </row>
    <row r="122" spans="1:11" x14ac:dyDescent="0.3">
      <c r="A122" s="8" t="s">
        <v>313</v>
      </c>
      <c r="B122" s="8" t="s">
        <v>314</v>
      </c>
      <c r="C122" s="8" t="s">
        <v>17</v>
      </c>
      <c r="D122" s="8" t="s">
        <v>37</v>
      </c>
      <c r="E122" s="12">
        <v>88034.67</v>
      </c>
      <c r="F122" s="7">
        <v>43669</v>
      </c>
      <c r="G122" s="8">
        <v>1</v>
      </c>
      <c r="H122" s="8" t="s">
        <v>13</v>
      </c>
      <c r="I122" s="8" t="s">
        <v>14</v>
      </c>
      <c r="J122" s="23">
        <f>Salary__2[[#This Row],[Salary]]-$O$16</f>
        <v>14990.386126126163</v>
      </c>
      <c r="K122" s="13">
        <v>2.3229166666666798</v>
      </c>
    </row>
    <row r="123" spans="1:11" x14ac:dyDescent="0.3">
      <c r="A123" s="8" t="s">
        <v>267</v>
      </c>
      <c r="B123" s="8" t="s">
        <v>268</v>
      </c>
      <c r="C123" s="8" t="s">
        <v>17</v>
      </c>
      <c r="D123" s="8" t="s">
        <v>22</v>
      </c>
      <c r="E123" s="12">
        <v>42161.77</v>
      </c>
      <c r="F123" s="7">
        <v>43494</v>
      </c>
      <c r="G123" s="8">
        <v>1</v>
      </c>
      <c r="H123" s="8" t="s">
        <v>13</v>
      </c>
      <c r="I123" s="8" t="s">
        <v>60</v>
      </c>
      <c r="J123" s="23">
        <f>Salary__2[[#This Row],[Salary]]-$O$16</f>
        <v>-30882.513873873839</v>
      </c>
      <c r="K123" s="13">
        <v>2.3645833333333499</v>
      </c>
    </row>
    <row r="124" spans="1:11" x14ac:dyDescent="0.3">
      <c r="A124" s="8" t="s">
        <v>254</v>
      </c>
      <c r="B124" s="8" t="s">
        <v>255</v>
      </c>
      <c r="C124" s="8" t="s">
        <v>11</v>
      </c>
      <c r="D124" s="8" t="s">
        <v>37</v>
      </c>
      <c r="E124" s="12">
        <v>59258.19</v>
      </c>
      <c r="F124" s="7">
        <v>43452</v>
      </c>
      <c r="G124" s="8">
        <v>0.8</v>
      </c>
      <c r="H124" s="8" t="s">
        <v>13</v>
      </c>
      <c r="I124" s="8" t="s">
        <v>19</v>
      </c>
      <c r="J124" s="23">
        <f>Salary__2[[#This Row],[Salary]]-$O$16</f>
        <v>-13786.093873873833</v>
      </c>
      <c r="K124" s="13">
        <v>2.4062500000000102</v>
      </c>
    </row>
    <row r="125" spans="1:11" x14ac:dyDescent="0.3">
      <c r="A125" s="8" t="s">
        <v>84</v>
      </c>
      <c r="B125" s="8" t="s">
        <v>558</v>
      </c>
      <c r="C125" s="8" t="s">
        <v>17</v>
      </c>
      <c r="D125" s="8" t="s">
        <v>25</v>
      </c>
      <c r="E125" s="12">
        <v>71570.990000000005</v>
      </c>
      <c r="F125" s="7">
        <v>44249</v>
      </c>
      <c r="G125" s="8">
        <v>0.5</v>
      </c>
      <c r="H125" s="8" t="s">
        <v>13</v>
      </c>
      <c r="I125" s="8" t="s">
        <v>30</v>
      </c>
      <c r="J125" s="23">
        <f>Salary__2[[#This Row],[Salary]]-$O$16</f>
        <v>-1473.2938738738303</v>
      </c>
      <c r="K125" s="13">
        <v>2.4479166666666798</v>
      </c>
    </row>
    <row r="126" spans="1:11" x14ac:dyDescent="0.3">
      <c r="A126" s="8" t="s">
        <v>290</v>
      </c>
      <c r="B126" s="8" t="s">
        <v>291</v>
      </c>
      <c r="C126" s="8" t="s">
        <v>11</v>
      </c>
      <c r="D126" s="8" t="s">
        <v>77</v>
      </c>
      <c r="E126" s="12">
        <v>67633.850000000006</v>
      </c>
      <c r="F126" s="7">
        <v>43340</v>
      </c>
      <c r="G126" s="8">
        <v>1</v>
      </c>
      <c r="H126" s="8" t="s">
        <v>13</v>
      </c>
      <c r="I126" s="8" t="s">
        <v>55</v>
      </c>
      <c r="J126" s="23">
        <f>Salary__2[[#This Row],[Salary]]-$O$16</f>
        <v>-5410.4338738738297</v>
      </c>
      <c r="K126" s="13">
        <v>2.4895833333333499</v>
      </c>
    </row>
    <row r="127" spans="1:11" x14ac:dyDescent="0.3">
      <c r="A127" s="8" t="s">
        <v>279</v>
      </c>
      <c r="B127" s="8" t="s">
        <v>280</v>
      </c>
      <c r="C127" s="8" t="s">
        <v>11</v>
      </c>
      <c r="D127" s="8" t="s">
        <v>99</v>
      </c>
      <c r="E127" s="12">
        <v>89838.77</v>
      </c>
      <c r="F127" s="7">
        <v>43602</v>
      </c>
      <c r="G127" s="8">
        <v>1</v>
      </c>
      <c r="H127" s="8" t="s">
        <v>13</v>
      </c>
      <c r="I127" s="8" t="s">
        <v>14</v>
      </c>
      <c r="J127" s="23">
        <f>Salary__2[[#This Row],[Salary]]-$O$16</f>
        <v>16794.486126126169</v>
      </c>
      <c r="K127" s="13">
        <v>2.5312500000000102</v>
      </c>
    </row>
    <row r="128" spans="1:11" x14ac:dyDescent="0.3">
      <c r="A128" s="8" t="s">
        <v>351</v>
      </c>
      <c r="B128" s="8" t="s">
        <v>600</v>
      </c>
      <c r="C128" s="8" t="s">
        <v>11</v>
      </c>
      <c r="D128" s="8" t="s">
        <v>99</v>
      </c>
      <c r="E128" s="12">
        <v>28481.16</v>
      </c>
      <c r="F128" s="7">
        <v>43916</v>
      </c>
      <c r="G128" s="8">
        <v>1</v>
      </c>
      <c r="H128" s="8" t="s">
        <v>13</v>
      </c>
      <c r="I128" s="8" t="s">
        <v>30</v>
      </c>
      <c r="J128" s="23">
        <f>Salary__2[[#This Row],[Salary]]-$O$16</f>
        <v>-44563.123873873832</v>
      </c>
      <c r="K128" s="13">
        <v>2.5729166666666798</v>
      </c>
    </row>
    <row r="129" spans="1:11" x14ac:dyDescent="0.3">
      <c r="A129" s="8" t="s">
        <v>49</v>
      </c>
      <c r="B129" s="8" t="s">
        <v>50</v>
      </c>
      <c r="C129" s="8" t="s">
        <v>17</v>
      </c>
      <c r="D129" s="8" t="s">
        <v>33</v>
      </c>
      <c r="E129" s="12">
        <v>114425.19</v>
      </c>
      <c r="F129" s="7">
        <v>43857</v>
      </c>
      <c r="G129" s="8">
        <v>1</v>
      </c>
      <c r="H129" s="8" t="s">
        <v>13</v>
      </c>
      <c r="I129" s="8" t="s">
        <v>35</v>
      </c>
      <c r="J129" s="23">
        <f>Salary__2[[#This Row],[Salary]]-$O$16</f>
        <v>41380.906126126167</v>
      </c>
      <c r="K129" s="13">
        <v>2.6145833333333499</v>
      </c>
    </row>
    <row r="130" spans="1:11" x14ac:dyDescent="0.3">
      <c r="A130" s="8" t="s">
        <v>310</v>
      </c>
      <c r="B130" s="8" t="s">
        <v>311</v>
      </c>
      <c r="C130" s="8" t="s">
        <v>11</v>
      </c>
      <c r="D130" s="8" t="s">
        <v>99</v>
      </c>
      <c r="E130" s="12">
        <v>99460.78</v>
      </c>
      <c r="F130" s="7">
        <v>43956</v>
      </c>
      <c r="G130" s="8">
        <v>1</v>
      </c>
      <c r="H130" s="8" t="s">
        <v>13</v>
      </c>
      <c r="I130" s="8" t="s">
        <v>14</v>
      </c>
      <c r="J130" s="23">
        <f>Salary__2[[#This Row],[Salary]]-$O$16</f>
        <v>26416.496126126163</v>
      </c>
      <c r="K130" s="13">
        <v>2.65625000000002</v>
      </c>
    </row>
    <row r="131" spans="1:11" x14ac:dyDescent="0.3">
      <c r="A131" s="8" t="s">
        <v>540</v>
      </c>
      <c r="B131" s="8" t="s">
        <v>541</v>
      </c>
      <c r="C131" s="8" t="s">
        <v>11</v>
      </c>
      <c r="D131" s="8" t="s">
        <v>37</v>
      </c>
      <c r="E131" s="12">
        <v>30077.45</v>
      </c>
      <c r="F131" s="7">
        <v>43474</v>
      </c>
      <c r="G131" s="8">
        <v>1</v>
      </c>
      <c r="H131" s="8" t="s">
        <v>13</v>
      </c>
      <c r="I131" s="8" t="s">
        <v>35</v>
      </c>
      <c r="J131" s="23">
        <f>Salary__2[[#This Row],[Salary]]-$O$16</f>
        <v>-42966.833873873838</v>
      </c>
      <c r="K131" s="13">
        <v>2.6979166666666798</v>
      </c>
    </row>
    <row r="132" spans="1:11" x14ac:dyDescent="0.3">
      <c r="A132" s="8" t="s">
        <v>469</v>
      </c>
      <c r="B132" s="8" t="s">
        <v>470</v>
      </c>
      <c r="C132" s="8" t="s">
        <v>11</v>
      </c>
      <c r="D132" s="8" t="s">
        <v>93</v>
      </c>
      <c r="E132" s="12">
        <v>80360.41</v>
      </c>
      <c r="F132" s="7">
        <v>44167</v>
      </c>
      <c r="G132" s="8">
        <v>1</v>
      </c>
      <c r="H132" s="8" t="s">
        <v>13</v>
      </c>
      <c r="I132" s="8" t="s">
        <v>14</v>
      </c>
      <c r="J132" s="23">
        <f>Salary__2[[#This Row],[Salary]]-$O$16</f>
        <v>7316.1261261261679</v>
      </c>
      <c r="K132" s="13">
        <v>2.7395833333333499</v>
      </c>
    </row>
    <row r="133" spans="1:11" x14ac:dyDescent="0.3">
      <c r="A133" s="8" t="s">
        <v>423</v>
      </c>
      <c r="B133" s="8" t="s">
        <v>424</v>
      </c>
      <c r="C133" s="8" t="s">
        <v>17</v>
      </c>
      <c r="D133" s="8" t="s">
        <v>93</v>
      </c>
      <c r="E133" s="12">
        <v>68795.48</v>
      </c>
      <c r="F133" s="7">
        <v>44277</v>
      </c>
      <c r="G133" s="8">
        <v>0.2</v>
      </c>
      <c r="H133" s="8" t="s">
        <v>13</v>
      </c>
      <c r="I133" s="8" t="s">
        <v>14</v>
      </c>
      <c r="J133" s="23">
        <f>Salary__2[[#This Row],[Salary]]-$O$16</f>
        <v>-4248.8038738738396</v>
      </c>
      <c r="K133" s="13">
        <v>2.78125000000002</v>
      </c>
    </row>
    <row r="134" spans="1:11" x14ac:dyDescent="0.3">
      <c r="A134" s="8" t="s">
        <v>299</v>
      </c>
      <c r="B134" s="8" t="s">
        <v>300</v>
      </c>
      <c r="C134" s="8" t="s">
        <v>11</v>
      </c>
      <c r="D134" s="8" t="s">
        <v>18</v>
      </c>
      <c r="E134" s="12">
        <v>88511.17</v>
      </c>
      <c r="F134" s="7">
        <v>43950</v>
      </c>
      <c r="G134" s="8">
        <v>1</v>
      </c>
      <c r="H134" s="8" t="s">
        <v>13</v>
      </c>
      <c r="I134" s="8" t="s">
        <v>55</v>
      </c>
      <c r="J134" s="23">
        <f>Salary__2[[#This Row],[Salary]]-$O$16</f>
        <v>15466.886126126163</v>
      </c>
      <c r="K134" s="13">
        <v>2.8229166666666798</v>
      </c>
    </row>
    <row r="135" spans="1:11" x14ac:dyDescent="0.3">
      <c r="A135" s="8" t="s">
        <v>439</v>
      </c>
      <c r="B135" s="8" t="s">
        <v>440</v>
      </c>
      <c r="C135" s="8" t="s">
        <v>11</v>
      </c>
      <c r="D135" s="8" t="s">
        <v>77</v>
      </c>
      <c r="E135" s="12">
        <v>57925.91</v>
      </c>
      <c r="F135" s="7">
        <v>43572</v>
      </c>
      <c r="G135" s="8">
        <v>0.5</v>
      </c>
      <c r="H135" s="8" t="s">
        <v>13</v>
      </c>
      <c r="I135" s="8" t="s">
        <v>35</v>
      </c>
      <c r="J135" s="23">
        <f>Salary__2[[#This Row],[Salary]]-$O$16</f>
        <v>-15118.373873873832</v>
      </c>
      <c r="K135" s="13">
        <v>2.8645833333333499</v>
      </c>
    </row>
    <row r="136" spans="1:11" x14ac:dyDescent="0.3">
      <c r="A136" s="8" t="s">
        <v>132</v>
      </c>
      <c r="B136" s="8" t="s">
        <v>133</v>
      </c>
      <c r="C136" s="8" t="s">
        <v>11</v>
      </c>
      <c r="D136" s="8" t="s">
        <v>18</v>
      </c>
      <c r="E136" s="12">
        <v>80169.42</v>
      </c>
      <c r="F136" s="7">
        <v>44053</v>
      </c>
      <c r="G136" s="8">
        <v>1</v>
      </c>
      <c r="H136" s="8" t="s">
        <v>13</v>
      </c>
      <c r="I136" s="8" t="s">
        <v>60</v>
      </c>
      <c r="J136" s="23">
        <f>Salary__2[[#This Row],[Salary]]-$O$16</f>
        <v>7125.1361261261627</v>
      </c>
      <c r="K136" s="13">
        <v>2.90625000000002</v>
      </c>
    </row>
    <row r="137" spans="1:11" x14ac:dyDescent="0.3">
      <c r="A137" s="8" t="s">
        <v>323</v>
      </c>
      <c r="B137" s="8" t="s">
        <v>324</v>
      </c>
      <c r="C137" s="8" t="s">
        <v>11</v>
      </c>
      <c r="D137" s="8" t="s">
        <v>22</v>
      </c>
      <c r="E137" s="12">
        <v>88689.09</v>
      </c>
      <c r="F137" s="7">
        <v>43740</v>
      </c>
      <c r="G137" s="8">
        <v>1</v>
      </c>
      <c r="H137" s="8" t="s">
        <v>13</v>
      </c>
      <c r="I137" s="8" t="s">
        <v>19</v>
      </c>
      <c r="J137" s="23">
        <f>Salary__2[[#This Row],[Salary]]-$O$16</f>
        <v>15644.806126126161</v>
      </c>
      <c r="K137" s="13">
        <v>2.9479166666666798</v>
      </c>
    </row>
    <row r="138" spans="1:11" x14ac:dyDescent="0.3">
      <c r="A138" s="8" t="s">
        <v>524</v>
      </c>
      <c r="B138" s="8" t="s">
        <v>525</v>
      </c>
      <c r="C138" s="8" t="s">
        <v>11</v>
      </c>
      <c r="D138" s="8" t="s">
        <v>18</v>
      </c>
      <c r="E138" s="12">
        <v>90884.32</v>
      </c>
      <c r="F138" s="7">
        <v>44039</v>
      </c>
      <c r="G138" s="8">
        <v>0.5</v>
      </c>
      <c r="H138" s="8" t="s">
        <v>13</v>
      </c>
      <c r="I138" s="8" t="s">
        <v>55</v>
      </c>
      <c r="J138" s="23">
        <f>Salary__2[[#This Row],[Salary]]-$O$16</f>
        <v>17840.036126126171</v>
      </c>
      <c r="K138" s="13">
        <v>2.9895833333333499</v>
      </c>
    </row>
    <row r="139" spans="1:11" x14ac:dyDescent="0.3">
      <c r="A139" s="8" t="s">
        <v>501</v>
      </c>
      <c r="B139" s="8" t="s">
        <v>621</v>
      </c>
      <c r="C139" s="8" t="s">
        <v>11</v>
      </c>
      <c r="D139" s="8" t="s">
        <v>43</v>
      </c>
      <c r="E139" s="12">
        <v>69709.509999999995</v>
      </c>
      <c r="F139" s="7">
        <v>43472</v>
      </c>
      <c r="G139" s="8">
        <v>1</v>
      </c>
      <c r="H139" s="8" t="s">
        <v>13</v>
      </c>
      <c r="I139" s="8" t="s">
        <v>30</v>
      </c>
      <c r="J139" s="23">
        <f>Salary__2[[#This Row],[Salary]]-$O$16</f>
        <v>-3334.7738738738408</v>
      </c>
      <c r="K139" s="13">
        <v>3.03125000000002</v>
      </c>
    </row>
    <row r="140" spans="1:11" x14ac:dyDescent="0.3">
      <c r="A140" s="8" t="s">
        <v>521</v>
      </c>
      <c r="B140" s="8" t="s">
        <v>522</v>
      </c>
      <c r="C140" s="8" t="s">
        <v>11</v>
      </c>
      <c r="D140" s="8" t="s">
        <v>74</v>
      </c>
      <c r="E140" s="12">
        <v>28329.77</v>
      </c>
      <c r="F140" s="7">
        <v>43402</v>
      </c>
      <c r="G140" s="8">
        <v>1</v>
      </c>
      <c r="H140" s="8" t="s">
        <v>13</v>
      </c>
      <c r="I140" s="8" t="s">
        <v>19</v>
      </c>
      <c r="J140" s="23">
        <f>Salary__2[[#This Row],[Salary]]-$O$16</f>
        <v>-44714.513873873831</v>
      </c>
      <c r="K140" s="13">
        <v>3.0729166666666798</v>
      </c>
    </row>
    <row r="141" spans="1:11" x14ac:dyDescent="0.3">
      <c r="A141" s="8" t="s">
        <v>122</v>
      </c>
      <c r="B141" s="8" t="s">
        <v>123</v>
      </c>
      <c r="C141" s="8" t="s">
        <v>17</v>
      </c>
      <c r="D141" s="8" t="s">
        <v>77</v>
      </c>
      <c r="E141" s="12">
        <v>69163.39</v>
      </c>
      <c r="F141" s="7">
        <v>43397</v>
      </c>
      <c r="G141" s="8">
        <v>1</v>
      </c>
      <c r="H141" s="8" t="s">
        <v>13</v>
      </c>
      <c r="I141" s="8" t="s">
        <v>14</v>
      </c>
      <c r="J141" s="23">
        <f>Salary__2[[#This Row],[Salary]]-$O$16</f>
        <v>-3880.8938738738361</v>
      </c>
      <c r="K141" s="13">
        <v>3.1145833333333499</v>
      </c>
    </row>
    <row r="142" spans="1:11" x14ac:dyDescent="0.3">
      <c r="A142" s="8" t="s">
        <v>370</v>
      </c>
      <c r="B142" s="8" t="s">
        <v>371</v>
      </c>
      <c r="C142" s="8" t="s">
        <v>11</v>
      </c>
      <c r="D142" s="8" t="s">
        <v>80</v>
      </c>
      <c r="E142" s="12">
        <v>96753.78</v>
      </c>
      <c r="F142" s="7">
        <v>44494</v>
      </c>
      <c r="G142" s="8">
        <v>1</v>
      </c>
      <c r="H142" s="8" t="s">
        <v>13</v>
      </c>
      <c r="I142" s="8" t="s">
        <v>60</v>
      </c>
      <c r="J142" s="23">
        <f>Salary__2[[#This Row],[Salary]]-$O$16</f>
        <v>23709.496126126163</v>
      </c>
      <c r="K142" s="13">
        <v>3.15625000000002</v>
      </c>
    </row>
    <row r="143" spans="1:11" x14ac:dyDescent="0.3">
      <c r="A143" s="8" t="s">
        <v>372</v>
      </c>
      <c r="B143" s="8" t="s">
        <v>373</v>
      </c>
      <c r="C143" s="8" t="s">
        <v>17</v>
      </c>
      <c r="D143" s="8" t="s">
        <v>37</v>
      </c>
      <c r="E143" s="12">
        <v>28974.03</v>
      </c>
      <c r="F143" s="7">
        <v>43733</v>
      </c>
      <c r="G143" s="8">
        <v>1</v>
      </c>
      <c r="H143" s="8" t="s">
        <v>13</v>
      </c>
      <c r="I143" s="8" t="s">
        <v>60</v>
      </c>
      <c r="J143" s="23">
        <f>Salary__2[[#This Row],[Salary]]-$O$16</f>
        <v>-44070.253873873837</v>
      </c>
      <c r="K143" s="13">
        <v>3.1979166666666901</v>
      </c>
    </row>
    <row r="144" spans="1:11" x14ac:dyDescent="0.3">
      <c r="A144" s="8" t="s">
        <v>28</v>
      </c>
      <c r="B144" s="8" t="s">
        <v>553</v>
      </c>
      <c r="C144" s="8" t="s">
        <v>17</v>
      </c>
      <c r="D144" s="8" t="s">
        <v>25</v>
      </c>
      <c r="E144" s="12">
        <v>57002.02</v>
      </c>
      <c r="F144" s="7">
        <v>43192</v>
      </c>
      <c r="G144" s="8">
        <v>0.7</v>
      </c>
      <c r="H144" s="8" t="s">
        <v>13</v>
      </c>
      <c r="I144" s="8" t="s">
        <v>30</v>
      </c>
      <c r="J144" s="23">
        <f>Salary__2[[#This Row],[Salary]]-$O$16</f>
        <v>-16042.263873873839</v>
      </c>
      <c r="K144" s="13">
        <v>3.2395833333333499</v>
      </c>
    </row>
    <row r="145" spans="1:11" x14ac:dyDescent="0.3">
      <c r="A145" s="8" t="s">
        <v>332</v>
      </c>
      <c r="B145" s="8" t="s">
        <v>598</v>
      </c>
      <c r="C145" s="8" t="s">
        <v>17</v>
      </c>
      <c r="D145" s="8" t="s">
        <v>18</v>
      </c>
      <c r="E145" s="12">
        <v>33031.26</v>
      </c>
      <c r="F145" s="7">
        <v>43468</v>
      </c>
      <c r="G145" s="8">
        <v>0.4</v>
      </c>
      <c r="H145" s="8" t="s">
        <v>13</v>
      </c>
      <c r="I145" s="8" t="s">
        <v>30</v>
      </c>
      <c r="J145" s="23">
        <f>Salary__2[[#This Row],[Salary]]-$O$16</f>
        <v>-40013.023873873834</v>
      </c>
      <c r="K145" s="13">
        <v>3.28125000000002</v>
      </c>
    </row>
    <row r="146" spans="1:11" x14ac:dyDescent="0.3">
      <c r="A146" s="8" t="s">
        <v>178</v>
      </c>
      <c r="B146" s="8" t="s">
        <v>570</v>
      </c>
      <c r="C146" s="8" t="s">
        <v>17</v>
      </c>
      <c r="D146" s="8" t="s">
        <v>80</v>
      </c>
      <c r="E146" s="12">
        <v>84762.76</v>
      </c>
      <c r="F146" s="7">
        <v>43332</v>
      </c>
      <c r="G146" s="8">
        <v>1</v>
      </c>
      <c r="H146" s="8" t="s">
        <v>13</v>
      </c>
      <c r="I146" s="8" t="s">
        <v>30</v>
      </c>
      <c r="J146" s="23">
        <f>Salary__2[[#This Row],[Salary]]-$O$16</f>
        <v>11718.476126126159</v>
      </c>
      <c r="K146" s="13">
        <v>3.3229166666666901</v>
      </c>
    </row>
    <row r="147" spans="1:11" x14ac:dyDescent="0.3">
      <c r="A147" s="8" t="s">
        <v>545</v>
      </c>
      <c r="B147" s="8" t="s">
        <v>632</v>
      </c>
      <c r="C147" s="8" t="s">
        <v>11</v>
      </c>
      <c r="D147" s="8" t="s">
        <v>33</v>
      </c>
      <c r="E147" s="12">
        <v>92943.89</v>
      </c>
      <c r="F147" s="7">
        <v>44510</v>
      </c>
      <c r="G147" s="8">
        <v>1</v>
      </c>
      <c r="H147" s="8" t="s">
        <v>13</v>
      </c>
      <c r="I147" s="8" t="s">
        <v>30</v>
      </c>
      <c r="J147" s="23">
        <f>Salary__2[[#This Row],[Salary]]-$O$16</f>
        <v>19899.606126126164</v>
      </c>
      <c r="K147" s="13">
        <v>3.3645833333333499</v>
      </c>
    </row>
    <row r="148" spans="1:11" x14ac:dyDescent="0.3">
      <c r="A148" s="8" t="s">
        <v>157</v>
      </c>
      <c r="B148" s="8" t="s">
        <v>567</v>
      </c>
      <c r="C148" s="8" t="s">
        <v>17</v>
      </c>
      <c r="D148" s="8" t="s">
        <v>43</v>
      </c>
      <c r="E148" s="12">
        <v>39700.82</v>
      </c>
      <c r="F148" s="7">
        <v>44203</v>
      </c>
      <c r="G148" s="8">
        <v>0.8</v>
      </c>
      <c r="H148" s="8" t="s">
        <v>13</v>
      </c>
      <c r="I148" s="8" t="s">
        <v>66</v>
      </c>
      <c r="J148" s="23">
        <f>Salary__2[[#This Row],[Salary]]-$O$16</f>
        <v>-33343.463873873836</v>
      </c>
      <c r="K148" s="13">
        <v>3.40625000000002</v>
      </c>
    </row>
    <row r="149" spans="1:11" x14ac:dyDescent="0.3">
      <c r="A149" s="8" t="s">
        <v>294</v>
      </c>
      <c r="B149" s="8" t="s">
        <v>587</v>
      </c>
      <c r="C149" s="8" t="s">
        <v>11</v>
      </c>
      <c r="D149" s="8" t="s">
        <v>18</v>
      </c>
      <c r="E149" s="12">
        <v>39784.239999999998</v>
      </c>
      <c r="F149" s="7">
        <v>43465</v>
      </c>
      <c r="G149" s="8">
        <v>1</v>
      </c>
      <c r="H149" s="8" t="s">
        <v>27</v>
      </c>
      <c r="I149" s="8" t="s">
        <v>66</v>
      </c>
      <c r="J149" s="23">
        <f>Salary__2[[#This Row],[Salary]]-$O$16</f>
        <v>-33260.043873873838</v>
      </c>
      <c r="K149" s="13">
        <v>3.4479166666666901</v>
      </c>
    </row>
    <row r="150" spans="1:11" x14ac:dyDescent="0.3">
      <c r="A150" s="8" t="s">
        <v>415</v>
      </c>
      <c r="B150" s="8" t="s">
        <v>416</v>
      </c>
      <c r="C150" s="8" t="s">
        <v>11</v>
      </c>
      <c r="D150" s="8" t="s">
        <v>40</v>
      </c>
      <c r="E150" s="12">
        <v>31816.57</v>
      </c>
      <c r="F150" s="7">
        <v>43497</v>
      </c>
      <c r="G150" s="8">
        <v>0.3</v>
      </c>
      <c r="H150" s="8" t="s">
        <v>27</v>
      </c>
      <c r="I150" s="8" t="s">
        <v>14</v>
      </c>
      <c r="J150" s="23">
        <f>Salary__2[[#This Row],[Salary]]-$O$16</f>
        <v>-41227.713873873836</v>
      </c>
      <c r="K150" s="13">
        <v>3.4895833333333499</v>
      </c>
    </row>
    <row r="151" spans="1:11" x14ac:dyDescent="0.3">
      <c r="A151" s="8" t="s">
        <v>141</v>
      </c>
      <c r="B151" s="8" t="s">
        <v>142</v>
      </c>
      <c r="C151" s="8" t="s">
        <v>17</v>
      </c>
      <c r="D151" s="8" t="s">
        <v>93</v>
      </c>
      <c r="E151" s="12">
        <v>67818.14</v>
      </c>
      <c r="F151" s="7">
        <v>43406</v>
      </c>
      <c r="G151" s="8">
        <v>0.6</v>
      </c>
      <c r="H151" s="8" t="s">
        <v>27</v>
      </c>
      <c r="I151" s="8" t="s">
        <v>14</v>
      </c>
      <c r="J151" s="23">
        <f>Salary__2[[#This Row],[Salary]]-$O$16</f>
        <v>-5226.1438738738361</v>
      </c>
      <c r="K151" s="13">
        <v>3.53125000000002</v>
      </c>
    </row>
    <row r="152" spans="1:11" x14ac:dyDescent="0.3">
      <c r="A152" s="8" t="s">
        <v>151</v>
      </c>
      <c r="B152" s="8" t="s">
        <v>565</v>
      </c>
      <c r="C152" s="8" t="s">
        <v>11</v>
      </c>
      <c r="D152" s="8" t="s">
        <v>25</v>
      </c>
      <c r="E152" s="12">
        <v>79567.69</v>
      </c>
      <c r="F152" s="7">
        <v>43272</v>
      </c>
      <c r="G152" s="8">
        <v>1</v>
      </c>
      <c r="H152" s="8" t="s">
        <v>27</v>
      </c>
      <c r="I152" s="8" t="s">
        <v>66</v>
      </c>
      <c r="J152" s="23">
        <f>Salary__2[[#This Row],[Salary]]-$O$16</f>
        <v>6523.4061261261668</v>
      </c>
      <c r="K152" s="13">
        <v>3.5729166666666901</v>
      </c>
    </row>
    <row r="153" spans="1:11" x14ac:dyDescent="0.3">
      <c r="A153" s="8" t="s">
        <v>169</v>
      </c>
      <c r="B153" s="8" t="s">
        <v>170</v>
      </c>
      <c r="C153" s="8" t="s">
        <v>11</v>
      </c>
      <c r="D153" s="8" t="s">
        <v>74</v>
      </c>
      <c r="E153" s="12">
        <v>72876.91</v>
      </c>
      <c r="F153" s="7">
        <v>43612</v>
      </c>
      <c r="G153" s="8">
        <v>0.4</v>
      </c>
      <c r="H153" s="8" t="s">
        <v>27</v>
      </c>
      <c r="I153" s="8" t="s">
        <v>60</v>
      </c>
      <c r="J153" s="23">
        <f>Salary__2[[#This Row],[Salary]]-$O$16</f>
        <v>-167.37387387383205</v>
      </c>
      <c r="K153" s="13">
        <v>3.6145833333333601</v>
      </c>
    </row>
    <row r="154" spans="1:11" x14ac:dyDescent="0.3">
      <c r="A154" s="8" t="s">
        <v>427</v>
      </c>
      <c r="B154" s="8" t="s">
        <v>428</v>
      </c>
      <c r="C154" s="8" t="s">
        <v>11</v>
      </c>
      <c r="D154" s="8" t="s">
        <v>43</v>
      </c>
      <c r="E154" s="12">
        <v>78705.929999999993</v>
      </c>
      <c r="F154" s="7">
        <v>43409</v>
      </c>
      <c r="G154" s="8">
        <v>1</v>
      </c>
      <c r="H154" s="8" t="s">
        <v>27</v>
      </c>
      <c r="I154" s="8" t="s">
        <v>19</v>
      </c>
      <c r="J154" s="23">
        <f>Salary__2[[#This Row],[Salary]]-$O$16</f>
        <v>5661.6461261261575</v>
      </c>
      <c r="K154" s="13">
        <v>3.65625000000002</v>
      </c>
    </row>
    <row r="155" spans="1:11" x14ac:dyDescent="0.3">
      <c r="A155" s="8" t="s">
        <v>82</v>
      </c>
      <c r="B155" s="8" t="s">
        <v>83</v>
      </c>
      <c r="C155" s="8" t="s">
        <v>11</v>
      </c>
      <c r="D155" s="8" t="s">
        <v>33</v>
      </c>
      <c r="E155" s="12">
        <v>43329.22</v>
      </c>
      <c r="F155" s="7">
        <v>43809</v>
      </c>
      <c r="G155" s="8">
        <v>0.5</v>
      </c>
      <c r="H155" s="8" t="s">
        <v>27</v>
      </c>
      <c r="I155" s="8" t="s">
        <v>14</v>
      </c>
      <c r="J155" s="23">
        <f>Salary__2[[#This Row],[Salary]]-$O$16</f>
        <v>-29715.063873873834</v>
      </c>
      <c r="K155" s="13">
        <v>3.6979166666666901</v>
      </c>
    </row>
    <row r="156" spans="1:11" x14ac:dyDescent="0.3">
      <c r="A156" s="8" t="s">
        <v>235</v>
      </c>
      <c r="B156" s="8" t="s">
        <v>236</v>
      </c>
      <c r="C156" s="8" t="s">
        <v>17</v>
      </c>
      <c r="D156" s="8" t="s">
        <v>43</v>
      </c>
      <c r="E156" s="12">
        <v>99683.67</v>
      </c>
      <c r="F156" s="7">
        <v>43500</v>
      </c>
      <c r="G156" s="8">
        <v>1</v>
      </c>
      <c r="H156" s="8" t="s">
        <v>27</v>
      </c>
      <c r="I156" s="8" t="s">
        <v>19</v>
      </c>
      <c r="J156" s="23">
        <f>Salary__2[[#This Row],[Salary]]-$O$16</f>
        <v>26639.386126126163</v>
      </c>
      <c r="K156" s="13">
        <v>3.7395833333333601</v>
      </c>
    </row>
    <row r="157" spans="1:11" x14ac:dyDescent="0.3">
      <c r="A157" s="8" t="s">
        <v>205</v>
      </c>
      <c r="B157" s="8" t="s">
        <v>573</v>
      </c>
      <c r="C157" s="8" t="s">
        <v>11</v>
      </c>
      <c r="D157" s="8" t="s">
        <v>93</v>
      </c>
      <c r="E157" s="12">
        <v>106775.14</v>
      </c>
      <c r="F157" s="7">
        <v>43563</v>
      </c>
      <c r="G157" s="8">
        <v>1</v>
      </c>
      <c r="H157" s="8" t="s">
        <v>27</v>
      </c>
      <c r="I157" s="8" t="s">
        <v>30</v>
      </c>
      <c r="J157" s="23">
        <f>Salary__2[[#This Row],[Salary]]-$O$16</f>
        <v>33730.856126126164</v>
      </c>
      <c r="K157" s="13">
        <v>3.78125000000002</v>
      </c>
    </row>
    <row r="158" spans="1:11" x14ac:dyDescent="0.3">
      <c r="A158" s="8" t="s">
        <v>403</v>
      </c>
      <c r="B158" s="8" t="s">
        <v>404</v>
      </c>
      <c r="C158" s="8" t="s">
        <v>17</v>
      </c>
      <c r="D158" s="8" t="s">
        <v>74</v>
      </c>
      <c r="E158" s="12">
        <v>73488.679999999993</v>
      </c>
      <c r="F158" s="7">
        <v>43570</v>
      </c>
      <c r="G158" s="8">
        <v>1</v>
      </c>
      <c r="H158" s="8" t="s">
        <v>27</v>
      </c>
      <c r="I158" s="8" t="s">
        <v>19</v>
      </c>
      <c r="J158" s="23">
        <f>Salary__2[[#This Row],[Salary]]-$O$16</f>
        <v>444.39612612615747</v>
      </c>
      <c r="K158" s="13">
        <v>3.8229166666666901</v>
      </c>
    </row>
    <row r="159" spans="1:11" x14ac:dyDescent="0.3">
      <c r="A159" s="8" t="s">
        <v>297</v>
      </c>
      <c r="B159" s="8" t="s">
        <v>298</v>
      </c>
      <c r="C159" s="8" t="s">
        <v>11</v>
      </c>
      <c r="D159" s="8" t="s">
        <v>99</v>
      </c>
      <c r="E159" s="12">
        <v>72843.23</v>
      </c>
      <c r="F159" s="7">
        <v>43280</v>
      </c>
      <c r="G159" s="8">
        <v>1</v>
      </c>
      <c r="H159" s="8" t="s">
        <v>27</v>
      </c>
      <c r="I159" s="8" t="s">
        <v>35</v>
      </c>
      <c r="J159" s="23">
        <f>Salary__2[[#This Row],[Salary]]-$O$16</f>
        <v>-201.05387387383962</v>
      </c>
      <c r="K159" s="13">
        <v>3.8645833333333601</v>
      </c>
    </row>
    <row r="160" spans="1:11" x14ac:dyDescent="0.3">
      <c r="A160" s="8" t="s">
        <v>435</v>
      </c>
      <c r="B160" s="8" t="s">
        <v>436</v>
      </c>
      <c r="C160" s="8" t="s">
        <v>17</v>
      </c>
      <c r="D160" s="8" t="s">
        <v>93</v>
      </c>
      <c r="E160" s="12">
        <v>91929.69</v>
      </c>
      <c r="F160" s="7">
        <v>44085</v>
      </c>
      <c r="G160" s="8">
        <v>1</v>
      </c>
      <c r="H160" s="8" t="s">
        <v>27</v>
      </c>
      <c r="I160" s="8" t="s">
        <v>14</v>
      </c>
      <c r="J160" s="23">
        <f>Salary__2[[#This Row],[Salary]]-$O$16</f>
        <v>18885.406126126167</v>
      </c>
      <c r="K160" s="13">
        <v>3.90625000000002</v>
      </c>
    </row>
    <row r="161" spans="1:11" x14ac:dyDescent="0.3">
      <c r="A161" s="8" t="s">
        <v>406</v>
      </c>
      <c r="B161" s="8" t="s">
        <v>407</v>
      </c>
      <c r="C161" s="8" t="s">
        <v>17</v>
      </c>
      <c r="D161" s="8" t="s">
        <v>74</v>
      </c>
      <c r="E161" s="12">
        <v>92704.48</v>
      </c>
      <c r="F161" s="7">
        <v>43430</v>
      </c>
      <c r="G161" s="8">
        <v>1</v>
      </c>
      <c r="H161" s="8" t="s">
        <v>27</v>
      </c>
      <c r="I161" s="8" t="s">
        <v>55</v>
      </c>
      <c r="J161" s="23">
        <f>Salary__2[[#This Row],[Salary]]-$O$16</f>
        <v>19660.19612612616</v>
      </c>
      <c r="K161" s="13">
        <v>3.9479166666666901</v>
      </c>
    </row>
    <row r="162" spans="1:11" x14ac:dyDescent="0.3">
      <c r="A162" s="8" t="s">
        <v>120</v>
      </c>
      <c r="B162" s="8" t="s">
        <v>121</v>
      </c>
      <c r="C162" s="8" t="s">
        <v>17</v>
      </c>
      <c r="D162" s="8" t="s">
        <v>37</v>
      </c>
      <c r="E162" s="12">
        <v>100371.31</v>
      </c>
      <c r="F162" s="7">
        <v>44067</v>
      </c>
      <c r="G162" s="8">
        <v>0.8</v>
      </c>
      <c r="H162" s="8" t="s">
        <v>27</v>
      </c>
      <c r="I162" s="8" t="s">
        <v>60</v>
      </c>
      <c r="J162" s="23">
        <f>Salary__2[[#This Row],[Salary]]-$O$16</f>
        <v>27327.026126126162</v>
      </c>
      <c r="K162" s="13">
        <v>3.9895833333333601</v>
      </c>
    </row>
    <row r="163" spans="1:11" x14ac:dyDescent="0.3">
      <c r="A163" s="8" t="s">
        <v>523</v>
      </c>
      <c r="B163" s="8" t="s">
        <v>629</v>
      </c>
      <c r="C163" s="8" t="s">
        <v>17</v>
      </c>
      <c r="D163" s="8" t="s">
        <v>25</v>
      </c>
      <c r="E163" s="12">
        <v>93964.3</v>
      </c>
      <c r="F163" s="7">
        <v>44454</v>
      </c>
      <c r="G163" s="8">
        <v>0.4</v>
      </c>
      <c r="H163" s="8" t="s">
        <v>27</v>
      </c>
      <c r="I163" s="8" t="s">
        <v>30</v>
      </c>
      <c r="J163" s="23">
        <f>Salary__2[[#This Row],[Salary]]-$O$16</f>
        <v>20920.016126126167</v>
      </c>
      <c r="K163" s="13">
        <v>4.0312500000000204</v>
      </c>
    </row>
    <row r="164" spans="1:11" x14ac:dyDescent="0.3">
      <c r="A164" s="8" t="s">
        <v>356</v>
      </c>
      <c r="B164" s="8" t="s">
        <v>357</v>
      </c>
      <c r="C164" s="8" t="s">
        <v>11</v>
      </c>
      <c r="D164" s="8" t="s">
        <v>18</v>
      </c>
      <c r="E164" s="12">
        <v>69764.100000000006</v>
      </c>
      <c r="F164" s="7">
        <v>44195</v>
      </c>
      <c r="G164" s="8">
        <v>1</v>
      </c>
      <c r="H164" s="8" t="s">
        <v>27</v>
      </c>
      <c r="I164" s="8" t="s">
        <v>19</v>
      </c>
      <c r="J164" s="23">
        <f>Salary__2[[#This Row],[Salary]]-$O$16</f>
        <v>-3280.1838738738297</v>
      </c>
      <c r="K164" s="13">
        <v>4.0729166666666901</v>
      </c>
    </row>
    <row r="165" spans="1:11" x14ac:dyDescent="0.3">
      <c r="A165" s="8" t="s">
        <v>233</v>
      </c>
      <c r="B165" s="8" t="s">
        <v>234</v>
      </c>
      <c r="C165" s="8" t="s">
        <v>17</v>
      </c>
      <c r="D165" s="8" t="s">
        <v>37</v>
      </c>
      <c r="E165" s="12">
        <v>104038.9</v>
      </c>
      <c r="F165" s="7">
        <v>43815</v>
      </c>
      <c r="G165" s="8">
        <v>1</v>
      </c>
      <c r="H165" s="8" t="s">
        <v>27</v>
      </c>
      <c r="I165" s="8" t="s">
        <v>14</v>
      </c>
      <c r="J165" s="23">
        <f>Salary__2[[#This Row],[Salary]]-$O$16</f>
        <v>30994.616126126159</v>
      </c>
      <c r="K165" s="13">
        <v>4.1145833333333597</v>
      </c>
    </row>
    <row r="166" spans="1:11" x14ac:dyDescent="0.3">
      <c r="A166" s="8" t="s">
        <v>550</v>
      </c>
      <c r="B166" s="8" t="s">
        <v>635</v>
      </c>
      <c r="C166" s="8" t="s">
        <v>17</v>
      </c>
      <c r="D166" s="8" t="s">
        <v>99</v>
      </c>
      <c r="E166" s="12">
        <v>31089.22</v>
      </c>
      <c r="F166" s="7">
        <v>43776</v>
      </c>
      <c r="G166" s="8">
        <v>1</v>
      </c>
      <c r="H166" s="8" t="s">
        <v>27</v>
      </c>
      <c r="I166" s="8" t="s">
        <v>66</v>
      </c>
      <c r="J166" s="23">
        <f>Salary__2[[#This Row],[Salary]]-$O$16</f>
        <v>-41955.063873873834</v>
      </c>
      <c r="K166" s="13">
        <v>4.1562500000000302</v>
      </c>
    </row>
    <row r="167" spans="1:11" x14ac:dyDescent="0.3">
      <c r="A167" s="8" t="s">
        <v>444</v>
      </c>
      <c r="B167" s="8" t="s">
        <v>445</v>
      </c>
      <c r="C167" s="8" t="s">
        <v>11</v>
      </c>
      <c r="D167" s="8" t="s">
        <v>33</v>
      </c>
      <c r="E167" s="12">
        <v>53184.02</v>
      </c>
      <c r="F167" s="7">
        <v>43180</v>
      </c>
      <c r="G167" s="8">
        <v>1</v>
      </c>
      <c r="H167" s="8" t="s">
        <v>27</v>
      </c>
      <c r="I167" s="8" t="s">
        <v>14</v>
      </c>
      <c r="J167" s="23">
        <f>Salary__2[[#This Row],[Salary]]-$O$16</f>
        <v>-19860.263873873839</v>
      </c>
      <c r="K167" s="13">
        <v>4.1979166666666901</v>
      </c>
    </row>
    <row r="168" spans="1:11" x14ac:dyDescent="0.3">
      <c r="A168" s="8" t="s">
        <v>483</v>
      </c>
      <c r="B168" s="8" t="s">
        <v>484</v>
      </c>
      <c r="C168" s="8" t="s">
        <v>17</v>
      </c>
      <c r="D168" s="8" t="s">
        <v>93</v>
      </c>
      <c r="E168" s="12">
        <v>49625.64</v>
      </c>
      <c r="F168" s="7">
        <v>44384</v>
      </c>
      <c r="G168" s="8">
        <v>0.5</v>
      </c>
      <c r="H168" s="8" t="s">
        <v>27</v>
      </c>
      <c r="I168" s="8" t="s">
        <v>14</v>
      </c>
      <c r="J168" s="23">
        <f>Salary__2[[#This Row],[Salary]]-$O$16</f>
        <v>-23418.643873873836</v>
      </c>
      <c r="K168" s="13">
        <v>4.2395833333333597</v>
      </c>
    </row>
    <row r="169" spans="1:11" x14ac:dyDescent="0.3">
      <c r="A169" s="8" t="s">
        <v>350</v>
      </c>
      <c r="B169" s="8" t="s">
        <v>599</v>
      </c>
      <c r="C169" s="8" t="s">
        <v>11</v>
      </c>
      <c r="D169" s="8" t="s">
        <v>22</v>
      </c>
      <c r="E169" s="12">
        <v>47646.95</v>
      </c>
      <c r="F169" s="7">
        <v>43791</v>
      </c>
      <c r="G169" s="8">
        <v>0.3</v>
      </c>
      <c r="H169" s="8" t="s">
        <v>27</v>
      </c>
      <c r="I169" s="8" t="s">
        <v>66</v>
      </c>
      <c r="J169" s="23">
        <f>Salary__2[[#This Row],[Salary]]-$O$16</f>
        <v>-25397.333873873838</v>
      </c>
      <c r="K169" s="13">
        <v>4.2812500000000302</v>
      </c>
    </row>
    <row r="170" spans="1:11" x14ac:dyDescent="0.3">
      <c r="A170" s="8" t="s">
        <v>465</v>
      </c>
      <c r="B170" s="8" t="s">
        <v>466</v>
      </c>
      <c r="C170" s="8" t="s">
        <v>11</v>
      </c>
      <c r="D170" s="8" t="s">
        <v>93</v>
      </c>
      <c r="E170" s="12">
        <v>89960.6</v>
      </c>
      <c r="F170" s="7">
        <v>43515</v>
      </c>
      <c r="G170" s="8">
        <v>1</v>
      </c>
      <c r="H170" s="8" t="s">
        <v>27</v>
      </c>
      <c r="I170" s="8" t="s">
        <v>60</v>
      </c>
      <c r="J170" s="23">
        <f>Salary__2[[#This Row],[Salary]]-$O$16</f>
        <v>16916.31612612617</v>
      </c>
      <c r="K170" s="13">
        <v>4.3229166666666901</v>
      </c>
    </row>
    <row r="171" spans="1:11" x14ac:dyDescent="0.3">
      <c r="A171" s="8" t="s">
        <v>538</v>
      </c>
      <c r="B171" s="8" t="s">
        <v>539</v>
      </c>
      <c r="C171" s="8" t="s">
        <v>11</v>
      </c>
      <c r="D171" s="8" t="s">
        <v>80</v>
      </c>
      <c r="E171" s="12">
        <v>91314.75</v>
      </c>
      <c r="F171" s="7">
        <v>43931</v>
      </c>
      <c r="G171" s="8">
        <v>1</v>
      </c>
      <c r="H171" s="8" t="s">
        <v>27</v>
      </c>
      <c r="I171" s="8" t="s">
        <v>19</v>
      </c>
      <c r="J171" s="23">
        <f>Salary__2[[#This Row],[Salary]]-$O$16</f>
        <v>18270.466126126164</v>
      </c>
      <c r="K171" s="13">
        <v>4.3645833333333597</v>
      </c>
    </row>
    <row r="172" spans="1:11" x14ac:dyDescent="0.3">
      <c r="A172" s="8" t="s">
        <v>46</v>
      </c>
      <c r="B172" s="8" t="s">
        <v>47</v>
      </c>
      <c r="C172" s="8" t="s">
        <v>17</v>
      </c>
      <c r="D172" s="8" t="s">
        <v>22</v>
      </c>
      <c r="E172" s="12">
        <v>42314.39</v>
      </c>
      <c r="F172" s="7">
        <v>44487</v>
      </c>
      <c r="G172" s="8">
        <v>1</v>
      </c>
      <c r="H172" s="8" t="s">
        <v>27</v>
      </c>
      <c r="I172" s="8" t="s">
        <v>14</v>
      </c>
      <c r="J172" s="23">
        <f>Salary__2[[#This Row],[Salary]]-$O$16</f>
        <v>-30729.893873873836</v>
      </c>
      <c r="K172" s="13">
        <v>4.4062500000000302</v>
      </c>
    </row>
    <row r="173" spans="1:11" x14ac:dyDescent="0.3">
      <c r="A173" s="8" t="s">
        <v>358</v>
      </c>
      <c r="B173" s="8" t="s">
        <v>359</v>
      </c>
      <c r="C173" s="8" t="s">
        <v>17</v>
      </c>
      <c r="D173" s="8" t="s">
        <v>80</v>
      </c>
      <c r="E173" s="12">
        <v>84598.88</v>
      </c>
      <c r="F173" s="7">
        <v>44116</v>
      </c>
      <c r="G173" s="8">
        <v>1</v>
      </c>
      <c r="H173" s="8" t="s">
        <v>27</v>
      </c>
      <c r="I173" s="8" t="s">
        <v>19</v>
      </c>
      <c r="J173" s="23">
        <f>Salary__2[[#This Row],[Salary]]-$O$16</f>
        <v>11554.596126126169</v>
      </c>
      <c r="K173" s="13">
        <v>4.4479166666666901</v>
      </c>
    </row>
    <row r="174" spans="1:11" x14ac:dyDescent="0.3">
      <c r="A174" s="8" t="s">
        <v>409</v>
      </c>
      <c r="B174" s="8" t="s">
        <v>612</v>
      </c>
      <c r="C174" s="8" t="s">
        <v>11</v>
      </c>
      <c r="D174" s="8" t="s">
        <v>33</v>
      </c>
      <c r="E174" s="12">
        <v>78443.78</v>
      </c>
      <c r="F174" s="7">
        <v>43599</v>
      </c>
      <c r="G174" s="8">
        <v>1</v>
      </c>
      <c r="H174" s="8" t="s">
        <v>27</v>
      </c>
      <c r="I174" s="8" t="s">
        <v>30</v>
      </c>
      <c r="J174" s="23">
        <f>Salary__2[[#This Row],[Salary]]-$O$16</f>
        <v>5399.4961261261633</v>
      </c>
      <c r="K174" s="13">
        <v>4.4895833333333597</v>
      </c>
    </row>
    <row r="175" spans="1:11" x14ac:dyDescent="0.3">
      <c r="A175" s="8" t="s">
        <v>503</v>
      </c>
      <c r="B175" s="8" t="s">
        <v>622</v>
      </c>
      <c r="C175" s="8" t="s">
        <v>17</v>
      </c>
      <c r="D175" s="8" t="s">
        <v>43</v>
      </c>
      <c r="E175" s="12">
        <v>46751.7</v>
      </c>
      <c r="F175" s="7">
        <v>43843</v>
      </c>
      <c r="G175" s="8">
        <v>1</v>
      </c>
      <c r="H175" s="8" t="s">
        <v>27</v>
      </c>
      <c r="I175" s="8" t="s">
        <v>30</v>
      </c>
      <c r="J175" s="23">
        <f>Salary__2[[#This Row],[Salary]]-$O$16</f>
        <v>-26292.583873873838</v>
      </c>
      <c r="K175" s="13">
        <v>4.5312500000000302</v>
      </c>
    </row>
    <row r="176" spans="1:11" x14ac:dyDescent="0.3">
      <c r="A176" s="8" t="s">
        <v>139</v>
      </c>
      <c r="B176" s="8" t="s">
        <v>140</v>
      </c>
      <c r="C176" s="8" t="s">
        <v>11</v>
      </c>
      <c r="D176" s="8" t="s">
        <v>77</v>
      </c>
      <c r="E176" s="12">
        <v>57419.35</v>
      </c>
      <c r="F176" s="7">
        <v>43305</v>
      </c>
      <c r="G176" s="8">
        <v>1</v>
      </c>
      <c r="H176" s="8" t="s">
        <v>27</v>
      </c>
      <c r="I176" s="8" t="s">
        <v>60</v>
      </c>
      <c r="J176" s="23">
        <f>Salary__2[[#This Row],[Salary]]-$O$16</f>
        <v>-15624.933873873837</v>
      </c>
      <c r="K176" s="13">
        <v>4.5729166666666998</v>
      </c>
    </row>
    <row r="177" spans="1:11" x14ac:dyDescent="0.3">
      <c r="A177" s="8" t="s">
        <v>354</v>
      </c>
      <c r="B177" s="8" t="s">
        <v>355</v>
      </c>
      <c r="C177" s="8" t="s">
        <v>11</v>
      </c>
      <c r="D177" s="8" t="s">
        <v>37</v>
      </c>
      <c r="E177" s="12">
        <v>95017.1</v>
      </c>
      <c r="F177" s="7">
        <v>43283</v>
      </c>
      <c r="G177" s="8">
        <v>1</v>
      </c>
      <c r="H177" s="8" t="s">
        <v>27</v>
      </c>
      <c r="I177" s="8" t="s">
        <v>19</v>
      </c>
      <c r="J177" s="23">
        <f>Salary__2[[#This Row],[Salary]]-$O$16</f>
        <v>21972.81612612617</v>
      </c>
      <c r="K177" s="13">
        <v>4.6145833333333597</v>
      </c>
    </row>
    <row r="178" spans="1:11" x14ac:dyDescent="0.3">
      <c r="A178" s="8" t="s">
        <v>430</v>
      </c>
      <c r="B178" s="8" t="s">
        <v>431</v>
      </c>
      <c r="C178" s="8" t="s">
        <v>11</v>
      </c>
      <c r="D178" s="8" t="s">
        <v>40</v>
      </c>
      <c r="E178" s="12">
        <v>53535.62</v>
      </c>
      <c r="F178" s="7">
        <v>44110</v>
      </c>
      <c r="G178" s="8">
        <v>0.5</v>
      </c>
      <c r="H178" s="8" t="s">
        <v>27</v>
      </c>
      <c r="I178" s="8" t="s">
        <v>19</v>
      </c>
      <c r="J178" s="23">
        <f>Salary__2[[#This Row],[Salary]]-$O$16</f>
        <v>-19508.663873873833</v>
      </c>
      <c r="K178" s="13">
        <v>4.6562500000000302</v>
      </c>
    </row>
    <row r="179" spans="1:11" x14ac:dyDescent="0.3">
      <c r="A179" s="8" t="s">
        <v>172</v>
      </c>
      <c r="B179" s="8" t="s">
        <v>173</v>
      </c>
      <c r="C179" s="8" t="s">
        <v>17</v>
      </c>
      <c r="D179" s="8" t="s">
        <v>99</v>
      </c>
      <c r="E179" s="12">
        <v>31042.51</v>
      </c>
      <c r="F179" s="7">
        <v>44473</v>
      </c>
      <c r="G179" s="8">
        <v>0.3</v>
      </c>
      <c r="H179" s="8" t="s">
        <v>27</v>
      </c>
      <c r="I179" s="8" t="s">
        <v>14</v>
      </c>
      <c r="J179" s="23">
        <f>Salary__2[[#This Row],[Salary]]-$O$16</f>
        <v>-42001.773873873841</v>
      </c>
      <c r="K179" s="13">
        <v>4.6979166666666998</v>
      </c>
    </row>
    <row r="180" spans="1:11" x14ac:dyDescent="0.3">
      <c r="A180" s="8" t="s">
        <v>375</v>
      </c>
      <c r="B180" s="8" t="s">
        <v>605</v>
      </c>
      <c r="C180" s="8" t="s">
        <v>17</v>
      </c>
      <c r="D180" s="8" t="s">
        <v>18</v>
      </c>
      <c r="E180" s="12">
        <v>86233.83</v>
      </c>
      <c r="F180" s="7">
        <v>43706</v>
      </c>
      <c r="G180" s="8">
        <v>1</v>
      </c>
      <c r="H180" s="8" t="s">
        <v>27</v>
      </c>
      <c r="I180" s="8" t="s">
        <v>66</v>
      </c>
      <c r="J180" s="23">
        <f>Salary__2[[#This Row],[Salary]]-$O$16</f>
        <v>13189.546126126166</v>
      </c>
      <c r="K180" s="13">
        <v>4.7395833333333597</v>
      </c>
    </row>
    <row r="181" spans="1:11" x14ac:dyDescent="0.3">
      <c r="A181" s="8" t="s">
        <v>224</v>
      </c>
      <c r="B181" s="8" t="s">
        <v>225</v>
      </c>
      <c r="C181" s="8" t="s">
        <v>17</v>
      </c>
      <c r="D181" s="8" t="s">
        <v>18</v>
      </c>
      <c r="E181" s="12">
        <v>86558.58</v>
      </c>
      <c r="F181" s="7">
        <v>43887</v>
      </c>
      <c r="G181" s="8">
        <v>1</v>
      </c>
      <c r="H181" s="8" t="s">
        <v>27</v>
      </c>
      <c r="I181" s="8" t="s">
        <v>14</v>
      </c>
      <c r="J181" s="23">
        <f>Salary__2[[#This Row],[Salary]]-$O$16</f>
        <v>13514.296126126166</v>
      </c>
      <c r="K181" s="13">
        <v>4.7812500000000302</v>
      </c>
    </row>
    <row r="182" spans="1:11" x14ac:dyDescent="0.3">
      <c r="A182" s="8" t="s">
        <v>307</v>
      </c>
      <c r="B182" s="8" t="s">
        <v>591</v>
      </c>
      <c r="C182" s="8" t="s">
        <v>17</v>
      </c>
      <c r="D182" s="8" t="s">
        <v>77</v>
      </c>
      <c r="E182" s="12">
        <v>76303.820000000007</v>
      </c>
      <c r="F182" s="7">
        <v>43458</v>
      </c>
      <c r="G182" s="8">
        <v>1</v>
      </c>
      <c r="H182" s="8" t="s">
        <v>27</v>
      </c>
      <c r="I182" s="8" t="s">
        <v>30</v>
      </c>
      <c r="J182" s="23">
        <f>Salary__2[[#This Row],[Salary]]-$O$16</f>
        <v>3259.5361261261714</v>
      </c>
      <c r="K182" s="13">
        <v>4.8229166666666998</v>
      </c>
    </row>
    <row r="183" spans="1:11" x14ac:dyDescent="0.3">
      <c r="A183" s="8" t="s">
        <v>231</v>
      </c>
      <c r="B183" s="8" t="s">
        <v>232</v>
      </c>
      <c r="C183" s="8" t="s">
        <v>17</v>
      </c>
      <c r="D183" s="8" t="s">
        <v>25</v>
      </c>
      <c r="E183" s="12">
        <v>101187.36</v>
      </c>
      <c r="F183" s="7">
        <v>43258</v>
      </c>
      <c r="G183" s="8">
        <v>1</v>
      </c>
      <c r="H183" s="8" t="s">
        <v>27</v>
      </c>
      <c r="I183" s="8" t="s">
        <v>55</v>
      </c>
      <c r="J183" s="23">
        <f>Salary__2[[#This Row],[Salary]]-$O$16</f>
        <v>28143.076126126165</v>
      </c>
      <c r="K183" s="13">
        <v>4.8645833333333597</v>
      </c>
    </row>
    <row r="184" spans="1:11" x14ac:dyDescent="0.3">
      <c r="A184" s="8" t="s">
        <v>387</v>
      </c>
      <c r="B184" s="8" t="s">
        <v>608</v>
      </c>
      <c r="C184" s="8" t="s">
        <v>11</v>
      </c>
      <c r="D184" s="8" t="s">
        <v>33</v>
      </c>
      <c r="E184" s="12">
        <v>61624.77</v>
      </c>
      <c r="F184" s="7">
        <v>43430</v>
      </c>
      <c r="G184" s="8">
        <v>0.3</v>
      </c>
      <c r="H184" s="8" t="s">
        <v>27</v>
      </c>
      <c r="I184" s="8" t="s">
        <v>30</v>
      </c>
      <c r="J184" s="23">
        <f>Salary__2[[#This Row],[Salary]]-$O$16</f>
        <v>-11419.513873873839</v>
      </c>
      <c r="K184" s="13">
        <v>4.9062500000000302</v>
      </c>
    </row>
    <row r="185" spans="1:11" x14ac:dyDescent="0.3">
      <c r="A185" s="8" t="s">
        <v>129</v>
      </c>
      <c r="B185" s="8" t="s">
        <v>130</v>
      </c>
      <c r="C185" s="8" t="s">
        <v>17</v>
      </c>
      <c r="D185" s="8" t="s">
        <v>22</v>
      </c>
      <c r="E185" s="12">
        <v>31172.77</v>
      </c>
      <c r="F185" s="7">
        <v>43665</v>
      </c>
      <c r="G185" s="8">
        <v>1</v>
      </c>
      <c r="H185" s="8" t="s">
        <v>27</v>
      </c>
      <c r="I185" s="8" t="s">
        <v>14</v>
      </c>
      <c r="J185" s="23">
        <f>Salary__2[[#This Row],[Salary]]-$O$16</f>
        <v>-41871.513873873831</v>
      </c>
      <c r="K185" s="13">
        <v>4.9479166666666998</v>
      </c>
    </row>
    <row r="186" spans="1:11" x14ac:dyDescent="0.3">
      <c r="A186" s="8" t="s">
        <v>453</v>
      </c>
      <c r="B186" s="8" t="s">
        <v>614</v>
      </c>
      <c r="C186" s="8" t="s">
        <v>11</v>
      </c>
      <c r="D186" s="8" t="s">
        <v>77</v>
      </c>
      <c r="E186" s="12">
        <v>102515.81</v>
      </c>
      <c r="F186" s="7">
        <v>43902</v>
      </c>
      <c r="G186" s="8">
        <v>1</v>
      </c>
      <c r="H186" s="8" t="s">
        <v>27</v>
      </c>
      <c r="I186" s="8" t="s">
        <v>66</v>
      </c>
      <c r="J186" s="23">
        <f>Salary__2[[#This Row],[Salary]]-$O$16</f>
        <v>29471.526126126162</v>
      </c>
      <c r="K186" s="13">
        <v>4.9895833333333703</v>
      </c>
    </row>
    <row r="187" spans="1:11" x14ac:dyDescent="0.3">
      <c r="A187" s="8" t="s">
        <v>23</v>
      </c>
      <c r="B187" s="8" t="s">
        <v>24</v>
      </c>
      <c r="C187" s="8" t="s">
        <v>17</v>
      </c>
      <c r="D187" s="8" t="s">
        <v>25</v>
      </c>
      <c r="E187" s="12">
        <v>93128.34</v>
      </c>
      <c r="F187" s="7">
        <v>43164</v>
      </c>
      <c r="G187" s="8">
        <v>1</v>
      </c>
      <c r="H187" s="8" t="s">
        <v>27</v>
      </c>
      <c r="I187" s="8" t="s">
        <v>19</v>
      </c>
      <c r="J187" s="23">
        <f>Salary__2[[#This Row],[Salary]]-$O$16</f>
        <v>20084.056126126161</v>
      </c>
      <c r="K187" s="13">
        <v>5.0312500000000302</v>
      </c>
    </row>
    <row r="188" spans="1:11" x14ac:dyDescent="0.3">
      <c r="A188" s="8" t="s">
        <v>256</v>
      </c>
      <c r="B188" s="8" t="s">
        <v>257</v>
      </c>
      <c r="C188" s="8" t="s">
        <v>11</v>
      </c>
      <c r="D188" s="8" t="s">
        <v>25</v>
      </c>
      <c r="E188" s="12">
        <v>112778.28</v>
      </c>
      <c r="F188" s="7">
        <v>43250</v>
      </c>
      <c r="G188" s="8">
        <v>1</v>
      </c>
      <c r="H188" s="8" t="s">
        <v>27</v>
      </c>
      <c r="I188" s="8" t="s">
        <v>14</v>
      </c>
      <c r="J188" s="23">
        <f>Salary__2[[#This Row],[Salary]]-$O$16</f>
        <v>39733.996126126163</v>
      </c>
      <c r="K188" s="13">
        <v>5.0729166666666998</v>
      </c>
    </row>
    <row r="189" spans="1:11" x14ac:dyDescent="0.3">
      <c r="A189" s="8" t="s">
        <v>512</v>
      </c>
      <c r="B189" s="8" t="s">
        <v>513</v>
      </c>
      <c r="C189" s="8" t="s">
        <v>11</v>
      </c>
      <c r="D189" s="8" t="s">
        <v>74</v>
      </c>
      <c r="E189" s="12">
        <v>65569.36</v>
      </c>
      <c r="F189" s="7">
        <v>43293</v>
      </c>
      <c r="G189" s="8">
        <v>1</v>
      </c>
      <c r="H189" s="8" t="s">
        <v>27</v>
      </c>
      <c r="I189" s="8" t="s">
        <v>60</v>
      </c>
      <c r="J189" s="23">
        <f>Salary__2[[#This Row],[Salary]]-$O$16</f>
        <v>-7474.923873873835</v>
      </c>
      <c r="K189" s="13">
        <v>5.1145833333333703</v>
      </c>
    </row>
    <row r="190" spans="1:11" x14ac:dyDescent="0.3">
      <c r="A190" s="8" t="s">
        <v>193</v>
      </c>
      <c r="B190" s="8" t="s">
        <v>571</v>
      </c>
      <c r="C190" s="8" t="s">
        <v>17</v>
      </c>
      <c r="D190" s="8" t="s">
        <v>637</v>
      </c>
      <c r="E190" s="12">
        <v>51165.37</v>
      </c>
      <c r="F190" s="7">
        <v>44237</v>
      </c>
      <c r="G190" s="8">
        <v>1</v>
      </c>
      <c r="H190" s="8" t="s">
        <v>27</v>
      </c>
      <c r="I190" s="8" t="s">
        <v>30</v>
      </c>
      <c r="J190" s="23">
        <f>Salary__2[[#This Row],[Salary]]-$O$16</f>
        <v>-21878.913873873833</v>
      </c>
      <c r="K190" s="13">
        <v>5.1562500000000302</v>
      </c>
    </row>
    <row r="191" spans="1:11" x14ac:dyDescent="0.3">
      <c r="A191" s="8" t="s">
        <v>175</v>
      </c>
      <c r="B191" s="8" t="s">
        <v>176</v>
      </c>
      <c r="C191" s="8" t="s">
        <v>17</v>
      </c>
      <c r="D191" s="8" t="s">
        <v>43</v>
      </c>
      <c r="E191" s="12">
        <v>59434.18</v>
      </c>
      <c r="F191" s="7">
        <v>43931</v>
      </c>
      <c r="G191" s="8">
        <v>1</v>
      </c>
      <c r="H191" s="8" t="s">
        <v>59</v>
      </c>
      <c r="I191" s="8" t="s">
        <v>19</v>
      </c>
      <c r="J191" s="23">
        <f>Salary__2[[#This Row],[Salary]]-$O$16</f>
        <v>-13610.103873873835</v>
      </c>
      <c r="K191" s="13">
        <v>5.1979166666666998</v>
      </c>
    </row>
    <row r="192" spans="1:11" x14ac:dyDescent="0.3">
      <c r="A192" s="8" t="s">
        <v>113</v>
      </c>
      <c r="B192" s="8" t="s">
        <v>114</v>
      </c>
      <c r="C192" s="8" t="s">
        <v>11</v>
      </c>
      <c r="D192" s="8" t="s">
        <v>25</v>
      </c>
      <c r="E192" s="12">
        <v>53949.26</v>
      </c>
      <c r="F192" s="7">
        <v>43808</v>
      </c>
      <c r="G192" s="8">
        <v>1</v>
      </c>
      <c r="H192" s="8" t="s">
        <v>59</v>
      </c>
      <c r="I192" s="8" t="s">
        <v>55</v>
      </c>
      <c r="J192" s="23">
        <f>Salary__2[[#This Row],[Salary]]-$O$16</f>
        <v>-19095.023873873834</v>
      </c>
      <c r="K192" s="13">
        <v>5.2395833333333703</v>
      </c>
    </row>
    <row r="193" spans="1:11" x14ac:dyDescent="0.3">
      <c r="A193" s="8" t="s">
        <v>326</v>
      </c>
      <c r="B193" s="8" t="s">
        <v>595</v>
      </c>
      <c r="C193" s="8" t="s">
        <v>17</v>
      </c>
      <c r="D193" s="8" t="s">
        <v>43</v>
      </c>
      <c r="E193" s="12">
        <v>96555.53</v>
      </c>
      <c r="F193" s="7">
        <v>43489</v>
      </c>
      <c r="G193" s="8">
        <v>0.2</v>
      </c>
      <c r="H193" s="8" t="s">
        <v>59</v>
      </c>
      <c r="I193" s="8" t="s">
        <v>30</v>
      </c>
      <c r="J193" s="23">
        <f>Salary__2[[#This Row],[Salary]]-$O$16</f>
        <v>23511.246126126163</v>
      </c>
      <c r="K193" s="13">
        <v>5.2812500000000302</v>
      </c>
    </row>
    <row r="194" spans="1:11" x14ac:dyDescent="0.3">
      <c r="A194" s="8" t="s">
        <v>245</v>
      </c>
      <c r="B194" s="8" t="s">
        <v>246</v>
      </c>
      <c r="C194" s="8" t="s">
        <v>17</v>
      </c>
      <c r="D194" s="8" t="s">
        <v>77</v>
      </c>
      <c r="E194" s="12">
        <v>71823.56</v>
      </c>
      <c r="F194" s="7">
        <v>43374</v>
      </c>
      <c r="G194" s="8">
        <v>0.3</v>
      </c>
      <c r="H194" s="8" t="s">
        <v>59</v>
      </c>
      <c r="I194" s="8" t="s">
        <v>14</v>
      </c>
      <c r="J194" s="23">
        <f>Salary__2[[#This Row],[Salary]]-$O$16</f>
        <v>-1220.7238738738379</v>
      </c>
      <c r="K194" s="13">
        <v>5.3229166666666998</v>
      </c>
    </row>
    <row r="195" spans="1:11" x14ac:dyDescent="0.3">
      <c r="A195" s="8" t="s">
        <v>56</v>
      </c>
      <c r="B195" s="8" t="s">
        <v>57</v>
      </c>
      <c r="C195" s="8" t="s">
        <v>11</v>
      </c>
      <c r="D195" s="8" t="s">
        <v>37</v>
      </c>
      <c r="E195" s="12">
        <v>61214.26</v>
      </c>
      <c r="F195" s="7">
        <v>43112</v>
      </c>
      <c r="G195" s="8">
        <v>1</v>
      </c>
      <c r="H195" s="8" t="s">
        <v>59</v>
      </c>
      <c r="I195" s="8" t="s">
        <v>60</v>
      </c>
      <c r="J195" s="23">
        <f>Salary__2[[#This Row],[Salary]]-$O$16</f>
        <v>-11830.023873873834</v>
      </c>
      <c r="K195" s="13">
        <v>5.3645833333333703</v>
      </c>
    </row>
    <row r="196" spans="1:11" x14ac:dyDescent="0.3">
      <c r="A196" s="8" t="s">
        <v>198</v>
      </c>
      <c r="B196" s="8" t="s">
        <v>199</v>
      </c>
      <c r="C196" s="8" t="s">
        <v>11</v>
      </c>
      <c r="D196" s="8" t="s">
        <v>33</v>
      </c>
      <c r="E196" s="12">
        <v>114465.93</v>
      </c>
      <c r="F196" s="7">
        <v>43291</v>
      </c>
      <c r="G196" s="8">
        <v>1</v>
      </c>
      <c r="H196" s="8" t="s">
        <v>59</v>
      </c>
      <c r="I196" s="8" t="s">
        <v>35</v>
      </c>
      <c r="J196" s="23">
        <f>Salary__2[[#This Row],[Salary]]-$O$16</f>
        <v>41421.646126126157</v>
      </c>
      <c r="K196" s="13">
        <v>5.4062500000000302</v>
      </c>
    </row>
    <row r="197" spans="1:11" x14ac:dyDescent="0.3">
      <c r="A197" s="8" t="s">
        <v>334</v>
      </c>
      <c r="B197" s="8" t="s">
        <v>335</v>
      </c>
      <c r="C197" s="8" t="s">
        <v>17</v>
      </c>
      <c r="D197" s="8" t="s">
        <v>99</v>
      </c>
      <c r="E197" s="12">
        <v>32496.880000000001</v>
      </c>
      <c r="F197" s="7">
        <v>43234</v>
      </c>
      <c r="G197" s="8">
        <v>1</v>
      </c>
      <c r="H197" s="8" t="s">
        <v>59</v>
      </c>
      <c r="I197" s="8" t="s">
        <v>14</v>
      </c>
      <c r="J197" s="23">
        <f>Salary__2[[#This Row],[Salary]]-$O$16</f>
        <v>-40547.403873873831</v>
      </c>
      <c r="K197" s="13">
        <v>5.4479166666666998</v>
      </c>
    </row>
    <row r="198" spans="1:11" x14ac:dyDescent="0.3">
      <c r="A198" s="8" t="s">
        <v>67</v>
      </c>
      <c r="B198" s="8" t="s">
        <v>68</v>
      </c>
      <c r="C198" s="8" t="s">
        <v>11</v>
      </c>
      <c r="D198" s="8" t="s">
        <v>33</v>
      </c>
      <c r="E198" s="12">
        <v>39969.72</v>
      </c>
      <c r="F198" s="7">
        <v>43444</v>
      </c>
      <c r="G198" s="8">
        <v>1</v>
      </c>
      <c r="H198" s="8" t="s">
        <v>59</v>
      </c>
      <c r="I198" s="8" t="s">
        <v>55</v>
      </c>
      <c r="J198" s="23">
        <f>Salary__2[[#This Row],[Salary]]-$O$16</f>
        <v>-33074.563873873834</v>
      </c>
      <c r="K198" s="13">
        <v>5.4895833333333703</v>
      </c>
    </row>
    <row r="199" spans="1:11" x14ac:dyDescent="0.3">
      <c r="A199" s="8" t="s">
        <v>209</v>
      </c>
      <c r="B199" s="8" t="s">
        <v>574</v>
      </c>
      <c r="C199" s="8" t="s">
        <v>11</v>
      </c>
      <c r="D199" s="8" t="s">
        <v>99</v>
      </c>
      <c r="E199" s="12">
        <v>28481.16</v>
      </c>
      <c r="F199" s="7">
        <v>44228</v>
      </c>
      <c r="G199" s="8">
        <v>1</v>
      </c>
      <c r="H199" s="8" t="s">
        <v>59</v>
      </c>
      <c r="I199" s="8" t="s">
        <v>66</v>
      </c>
      <c r="J199" s="23">
        <f>Salary__2[[#This Row],[Salary]]-$O$16</f>
        <v>-44563.123873873832</v>
      </c>
      <c r="K199" s="13">
        <v>5.53125000000004</v>
      </c>
    </row>
    <row r="200" spans="1:11" x14ac:dyDescent="0.3">
      <c r="A200" s="8" t="s">
        <v>124</v>
      </c>
      <c r="B200" s="8" t="s">
        <v>125</v>
      </c>
      <c r="C200" s="8" t="s">
        <v>11</v>
      </c>
      <c r="D200" s="8" t="s">
        <v>25</v>
      </c>
      <c r="E200" s="12">
        <v>114691.03</v>
      </c>
      <c r="F200" s="7">
        <v>44039</v>
      </c>
      <c r="G200" s="8">
        <v>1</v>
      </c>
      <c r="H200" s="8" t="s">
        <v>59</v>
      </c>
      <c r="I200" s="8" t="s">
        <v>35</v>
      </c>
      <c r="J200" s="23">
        <f>Salary__2[[#This Row],[Salary]]-$O$16</f>
        <v>41646.746126126163</v>
      </c>
      <c r="K200" s="13">
        <v>5.5729166666666998</v>
      </c>
    </row>
    <row r="201" spans="1:11" x14ac:dyDescent="0.3">
      <c r="A201" s="8" t="s">
        <v>442</v>
      </c>
      <c r="B201" s="8" t="s">
        <v>443</v>
      </c>
      <c r="C201" s="8" t="s">
        <v>11</v>
      </c>
      <c r="D201" s="8" t="s">
        <v>33</v>
      </c>
      <c r="E201" s="12">
        <v>82239.53</v>
      </c>
      <c r="F201" s="7">
        <v>43846</v>
      </c>
      <c r="G201" s="8">
        <v>1</v>
      </c>
      <c r="H201" s="8" t="s">
        <v>59</v>
      </c>
      <c r="I201" s="8" t="s">
        <v>55</v>
      </c>
      <c r="J201" s="23">
        <f>Salary__2[[#This Row],[Salary]]-$O$16</f>
        <v>9195.2461261261633</v>
      </c>
      <c r="K201" s="13">
        <v>5.6145833333333703</v>
      </c>
    </row>
    <row r="202" spans="1:11" x14ac:dyDescent="0.3">
      <c r="A202" s="8" t="s">
        <v>203</v>
      </c>
      <c r="B202" s="8" t="s">
        <v>204</v>
      </c>
      <c r="C202" s="8" t="s">
        <v>11</v>
      </c>
      <c r="D202" s="8" t="s">
        <v>80</v>
      </c>
      <c r="E202" s="12">
        <v>83191.95</v>
      </c>
      <c r="F202" s="7">
        <v>43700</v>
      </c>
      <c r="G202" s="8">
        <v>0.6</v>
      </c>
      <c r="H202" s="8" t="s">
        <v>59</v>
      </c>
      <c r="I202" s="8" t="s">
        <v>14</v>
      </c>
      <c r="J202" s="23">
        <f>Salary__2[[#This Row],[Salary]]-$O$16</f>
        <v>10147.666126126162</v>
      </c>
      <c r="K202" s="13">
        <v>5.65625000000004</v>
      </c>
    </row>
    <row r="203" spans="1:11" x14ac:dyDescent="0.3">
      <c r="A203" s="8" t="s">
        <v>187</v>
      </c>
      <c r="B203" s="8" t="s">
        <v>188</v>
      </c>
      <c r="C203" s="8" t="s">
        <v>11</v>
      </c>
      <c r="D203" s="8" t="s">
        <v>99</v>
      </c>
      <c r="E203" s="12">
        <v>113747.56</v>
      </c>
      <c r="F203" s="7">
        <v>44270</v>
      </c>
      <c r="G203" s="8">
        <v>0.7</v>
      </c>
      <c r="H203" s="8" t="s">
        <v>59</v>
      </c>
      <c r="I203" s="8" t="s">
        <v>55</v>
      </c>
      <c r="J203" s="23">
        <f>Salary__2[[#This Row],[Salary]]-$O$16</f>
        <v>40703.276126126162</v>
      </c>
      <c r="K203" s="13">
        <v>5.6979166666666998</v>
      </c>
    </row>
    <row r="204" spans="1:11" x14ac:dyDescent="0.3">
      <c r="A204" s="8" t="s">
        <v>274</v>
      </c>
      <c r="B204" s="8" t="s">
        <v>583</v>
      </c>
      <c r="C204" s="8" t="s">
        <v>11</v>
      </c>
      <c r="D204" s="8" t="s">
        <v>37</v>
      </c>
      <c r="E204" s="12">
        <v>37062.1</v>
      </c>
      <c r="F204" s="7">
        <v>44357</v>
      </c>
      <c r="G204" s="8">
        <v>1</v>
      </c>
      <c r="H204" s="8" t="s">
        <v>59</v>
      </c>
      <c r="I204" s="8" t="s">
        <v>66</v>
      </c>
      <c r="J204" s="23">
        <f>Salary__2[[#This Row],[Salary]]-$O$16</f>
        <v>-35982.183873873837</v>
      </c>
      <c r="K204" s="13">
        <v>5.7395833333333703</v>
      </c>
    </row>
    <row r="205" spans="1:11" x14ac:dyDescent="0.3">
      <c r="A205" s="8" t="s">
        <v>105</v>
      </c>
      <c r="B205" s="8" t="s">
        <v>106</v>
      </c>
      <c r="C205" s="8" t="s">
        <v>11</v>
      </c>
      <c r="D205" s="8" t="s">
        <v>18</v>
      </c>
      <c r="E205" s="12">
        <v>73360.38</v>
      </c>
      <c r="F205" s="7">
        <v>43972</v>
      </c>
      <c r="G205" s="8">
        <v>1</v>
      </c>
      <c r="H205" s="8" t="s">
        <v>59</v>
      </c>
      <c r="I205" s="8" t="s">
        <v>14</v>
      </c>
      <c r="J205" s="23">
        <f>Salary__2[[#This Row],[Salary]]-$O$16</f>
        <v>316.09612612616911</v>
      </c>
      <c r="K205" s="13">
        <v>5.78125000000004</v>
      </c>
    </row>
    <row r="206" spans="1:11" x14ac:dyDescent="0.3">
      <c r="A206" s="8" t="s">
        <v>361</v>
      </c>
      <c r="B206" s="8" t="s">
        <v>601</v>
      </c>
      <c r="C206" s="8" t="s">
        <v>11</v>
      </c>
      <c r="D206" s="8" t="s">
        <v>33</v>
      </c>
      <c r="E206" s="12">
        <v>36536.26</v>
      </c>
      <c r="F206" s="7">
        <v>44358</v>
      </c>
      <c r="G206" s="8">
        <v>1</v>
      </c>
      <c r="H206" s="8" t="s">
        <v>59</v>
      </c>
      <c r="I206" s="8" t="s">
        <v>30</v>
      </c>
      <c r="J206" s="23">
        <f>Salary__2[[#This Row],[Salary]]-$O$16</f>
        <v>-36508.023873873834</v>
      </c>
      <c r="K206" s="13">
        <v>5.8229166666666998</v>
      </c>
    </row>
    <row r="207" spans="1:11" x14ac:dyDescent="0.3">
      <c r="A207" s="8" t="s">
        <v>296</v>
      </c>
      <c r="B207" s="8" t="s">
        <v>588</v>
      </c>
      <c r="C207" s="8" t="s">
        <v>17</v>
      </c>
      <c r="D207" s="8" t="s">
        <v>93</v>
      </c>
      <c r="E207" s="12">
        <v>89829.33</v>
      </c>
      <c r="F207" s="7">
        <v>43794</v>
      </c>
      <c r="G207" s="8">
        <v>1</v>
      </c>
      <c r="H207" s="8" t="s">
        <v>59</v>
      </c>
      <c r="I207" s="8" t="s">
        <v>66</v>
      </c>
      <c r="J207" s="23">
        <f>Salary__2[[#This Row],[Salary]]-$O$16</f>
        <v>16785.046126126166</v>
      </c>
      <c r="K207" s="13">
        <v>5.8645833333333703</v>
      </c>
    </row>
    <row r="208" spans="1:11" x14ac:dyDescent="0.3">
      <c r="A208" s="8" t="s">
        <v>529</v>
      </c>
      <c r="B208" s="8" t="s">
        <v>530</v>
      </c>
      <c r="C208" s="8" t="s">
        <v>11</v>
      </c>
      <c r="D208" s="8" t="s">
        <v>80</v>
      </c>
      <c r="E208" s="12">
        <v>80772.92</v>
      </c>
      <c r="F208" s="7">
        <v>44137</v>
      </c>
      <c r="G208" s="8">
        <v>1</v>
      </c>
      <c r="H208" s="8" t="s">
        <v>59</v>
      </c>
      <c r="I208" s="8" t="s">
        <v>14</v>
      </c>
      <c r="J208" s="23">
        <f>Salary__2[[#This Row],[Salary]]-$O$16</f>
        <v>7728.6361261261627</v>
      </c>
      <c r="K208" s="13">
        <v>5.90625000000004</v>
      </c>
    </row>
    <row r="209" spans="1:11" x14ac:dyDescent="0.3">
      <c r="A209" s="8" t="s">
        <v>94</v>
      </c>
      <c r="B209" s="8" t="s">
        <v>95</v>
      </c>
      <c r="C209" s="8" t="s">
        <v>11</v>
      </c>
      <c r="D209" s="8" t="s">
        <v>77</v>
      </c>
      <c r="E209" s="12">
        <v>52246.29</v>
      </c>
      <c r="F209" s="7">
        <v>43573</v>
      </c>
      <c r="G209" s="8">
        <v>1</v>
      </c>
      <c r="H209" s="8" t="s">
        <v>59</v>
      </c>
      <c r="I209" s="8" t="s">
        <v>35</v>
      </c>
      <c r="J209" s="23">
        <f>Salary__2[[#This Row],[Salary]]-$O$16</f>
        <v>-20797.993873873835</v>
      </c>
      <c r="K209" s="13">
        <v>5.9479166666667096</v>
      </c>
    </row>
    <row r="210" spans="1:11" x14ac:dyDescent="0.3">
      <c r="A210" s="8" t="s">
        <v>135</v>
      </c>
      <c r="B210" s="8" t="s">
        <v>561</v>
      </c>
      <c r="C210" s="8" t="s">
        <v>17</v>
      </c>
      <c r="D210" s="8" t="s">
        <v>37</v>
      </c>
      <c r="E210" s="12">
        <v>58935.92</v>
      </c>
      <c r="F210" s="7">
        <v>43717</v>
      </c>
      <c r="G210" s="8">
        <v>1</v>
      </c>
      <c r="H210" s="8" t="s">
        <v>59</v>
      </c>
      <c r="I210" s="8" t="s">
        <v>30</v>
      </c>
      <c r="J210" s="23">
        <f>Salary__2[[#This Row],[Salary]]-$O$16</f>
        <v>-14108.363873873837</v>
      </c>
      <c r="K210" s="13">
        <v>5.9895833333333703</v>
      </c>
    </row>
    <row r="211" spans="1:11" x14ac:dyDescent="0.3">
      <c r="A211" s="8" t="s">
        <v>206</v>
      </c>
      <c r="B211" s="8" t="s">
        <v>207</v>
      </c>
      <c r="C211" s="8" t="s">
        <v>11</v>
      </c>
      <c r="D211" s="8" t="s">
        <v>74</v>
      </c>
      <c r="E211" s="12">
        <v>83396.5</v>
      </c>
      <c r="F211" s="7">
        <v>44285</v>
      </c>
      <c r="G211" s="8">
        <v>1</v>
      </c>
      <c r="H211" s="8" t="s">
        <v>59</v>
      </c>
      <c r="I211" s="8" t="s">
        <v>60</v>
      </c>
      <c r="J211" s="23">
        <f>Salary__2[[#This Row],[Salary]]-$O$16</f>
        <v>10352.216126126164</v>
      </c>
      <c r="K211" s="13">
        <v>6.03125000000004</v>
      </c>
    </row>
    <row r="212" spans="1:11" x14ac:dyDescent="0.3">
      <c r="A212" s="8" t="s">
        <v>292</v>
      </c>
      <c r="B212" s="8" t="s">
        <v>293</v>
      </c>
      <c r="C212" s="8" t="s">
        <v>11</v>
      </c>
      <c r="D212" s="8" t="s">
        <v>22</v>
      </c>
      <c r="E212" s="12">
        <v>111815.49</v>
      </c>
      <c r="F212" s="7">
        <v>43895</v>
      </c>
      <c r="G212" s="8">
        <v>0.7</v>
      </c>
      <c r="H212" s="8" t="s">
        <v>59</v>
      </c>
      <c r="I212" s="8" t="s">
        <v>14</v>
      </c>
      <c r="J212" s="23">
        <f>Salary__2[[#This Row],[Salary]]-$O$16</f>
        <v>38771.20612612617</v>
      </c>
      <c r="K212" s="13">
        <v>6.0729166666667096</v>
      </c>
    </row>
    <row r="213" spans="1:11" x14ac:dyDescent="0.3">
      <c r="A213" s="8" t="s">
        <v>154</v>
      </c>
      <c r="B213" s="8" t="s">
        <v>566</v>
      </c>
      <c r="C213" s="8" t="s">
        <v>17</v>
      </c>
      <c r="D213" s="8" t="s">
        <v>25</v>
      </c>
      <c r="E213" s="12">
        <v>116767.63</v>
      </c>
      <c r="F213" s="7">
        <v>43949</v>
      </c>
      <c r="G213" s="8">
        <v>0.4</v>
      </c>
      <c r="H213" s="8" t="s">
        <v>59</v>
      </c>
      <c r="I213" s="8" t="s">
        <v>66</v>
      </c>
      <c r="J213" s="23">
        <f>Salary__2[[#This Row],[Salary]]-$O$16</f>
        <v>43723.346126126169</v>
      </c>
      <c r="K213" s="13">
        <v>6.1145833333333703</v>
      </c>
    </row>
    <row r="214" spans="1:11" x14ac:dyDescent="0.3">
      <c r="A214" s="8" t="s">
        <v>454</v>
      </c>
      <c r="B214" s="8" t="s">
        <v>455</v>
      </c>
      <c r="C214" s="8" t="s">
        <v>11</v>
      </c>
      <c r="D214" s="8" t="s">
        <v>77</v>
      </c>
      <c r="E214" s="12">
        <v>38825.18</v>
      </c>
      <c r="F214" s="7">
        <v>43696</v>
      </c>
      <c r="G214" s="8">
        <v>1</v>
      </c>
      <c r="H214" s="8" t="s">
        <v>59</v>
      </c>
      <c r="I214" s="8" t="s">
        <v>14</v>
      </c>
      <c r="J214" s="23">
        <f>Salary__2[[#This Row],[Salary]]-$O$16</f>
        <v>-34219.103873873835</v>
      </c>
      <c r="K214" s="13">
        <v>6.15625000000004</v>
      </c>
    </row>
    <row r="215" spans="1:11" x14ac:dyDescent="0.3">
      <c r="A215" s="8" t="s">
        <v>494</v>
      </c>
      <c r="B215" s="8" t="s">
        <v>619</v>
      </c>
      <c r="C215" s="8" t="s">
        <v>11</v>
      </c>
      <c r="D215" s="8" t="s">
        <v>18</v>
      </c>
      <c r="E215" s="12">
        <v>106400.02</v>
      </c>
      <c r="F215" s="7">
        <v>44021</v>
      </c>
      <c r="G215" s="8">
        <v>1</v>
      </c>
      <c r="H215" s="8" t="s">
        <v>59</v>
      </c>
      <c r="I215" s="8" t="s">
        <v>66</v>
      </c>
      <c r="J215" s="23">
        <f>Salary__2[[#This Row],[Salary]]-$O$16</f>
        <v>33355.736126126169</v>
      </c>
      <c r="K215" s="13">
        <v>6.1979166666667096</v>
      </c>
    </row>
    <row r="216" spans="1:11" x14ac:dyDescent="0.3">
      <c r="A216" s="8" t="s">
        <v>390</v>
      </c>
      <c r="B216" s="8" t="s">
        <v>391</v>
      </c>
      <c r="C216" s="8" t="s">
        <v>11</v>
      </c>
      <c r="D216" s="8" t="s">
        <v>43</v>
      </c>
      <c r="E216" s="12">
        <v>28160.79</v>
      </c>
      <c r="F216" s="7">
        <v>43129</v>
      </c>
      <c r="G216" s="8">
        <v>1</v>
      </c>
      <c r="H216" s="8" t="s">
        <v>59</v>
      </c>
      <c r="I216" s="8" t="s">
        <v>14</v>
      </c>
      <c r="J216" s="23">
        <f>Salary__2[[#This Row],[Salary]]-$O$16</f>
        <v>-44883.493873873835</v>
      </c>
      <c r="K216" s="13">
        <v>6.2395833333333703</v>
      </c>
    </row>
    <row r="217" spans="1:11" x14ac:dyDescent="0.3">
      <c r="A217" s="8" t="s">
        <v>401</v>
      </c>
      <c r="B217" s="8" t="s">
        <v>402</v>
      </c>
      <c r="C217" s="8" t="s">
        <v>17</v>
      </c>
      <c r="D217" s="8" t="s">
        <v>25</v>
      </c>
      <c r="E217" s="12">
        <v>58744.17</v>
      </c>
      <c r="F217" s="7">
        <v>43171</v>
      </c>
      <c r="G217" s="8">
        <v>1</v>
      </c>
      <c r="H217" s="8" t="s">
        <v>59</v>
      </c>
      <c r="I217" s="8" t="s">
        <v>55</v>
      </c>
      <c r="J217" s="23">
        <f>Salary__2[[#This Row],[Salary]]-$O$16</f>
        <v>-14300.113873873837</v>
      </c>
      <c r="K217" s="13">
        <v>6.28125000000004</v>
      </c>
    </row>
    <row r="218" spans="1:11" x14ac:dyDescent="0.3">
      <c r="A218" s="8" t="s">
        <v>396</v>
      </c>
      <c r="B218" s="8" t="s">
        <v>610</v>
      </c>
      <c r="C218" s="8" t="s">
        <v>17</v>
      </c>
      <c r="D218" s="8" t="s">
        <v>40</v>
      </c>
      <c r="E218" s="12">
        <v>70755.5</v>
      </c>
      <c r="F218" s="7">
        <v>44090</v>
      </c>
      <c r="G218" s="8">
        <v>0.8</v>
      </c>
      <c r="H218" s="8" t="s">
        <v>59</v>
      </c>
      <c r="I218" s="8" t="s">
        <v>30</v>
      </c>
      <c r="J218" s="23">
        <f>Salary__2[[#This Row],[Salary]]-$O$16</f>
        <v>-2288.7838738738355</v>
      </c>
      <c r="K218" s="13">
        <v>6.3229166666667096</v>
      </c>
    </row>
    <row r="219" spans="1:11" x14ac:dyDescent="0.3">
      <c r="A219" s="8" t="s">
        <v>346</v>
      </c>
      <c r="B219" s="8" t="s">
        <v>347</v>
      </c>
      <c r="C219" s="8" t="s">
        <v>17</v>
      </c>
      <c r="D219" s="8" t="s">
        <v>93</v>
      </c>
      <c r="E219" s="12">
        <v>106665.67</v>
      </c>
      <c r="F219" s="7">
        <v>43311</v>
      </c>
      <c r="G219" s="8">
        <v>1</v>
      </c>
      <c r="H219" s="8" t="s">
        <v>59</v>
      </c>
      <c r="I219" s="8" t="s">
        <v>55</v>
      </c>
      <c r="J219" s="23">
        <f>Salary__2[[#This Row],[Salary]]-$O$16</f>
        <v>33621.386126126163</v>
      </c>
      <c r="K219" s="13">
        <v>6.3645833333333703</v>
      </c>
    </row>
    <row r="220" spans="1:11" x14ac:dyDescent="0.3">
      <c r="A220" s="8" t="s">
        <v>103</v>
      </c>
      <c r="B220" s="8" t="s">
        <v>104</v>
      </c>
      <c r="C220" s="8" t="s">
        <v>11</v>
      </c>
      <c r="D220" s="8" t="s">
        <v>74</v>
      </c>
      <c r="E220" s="12">
        <v>76320.44</v>
      </c>
      <c r="F220" s="7">
        <v>44383</v>
      </c>
      <c r="G220" s="8">
        <v>0.8</v>
      </c>
      <c r="H220" s="8" t="s">
        <v>59</v>
      </c>
      <c r="I220" s="8" t="s">
        <v>14</v>
      </c>
      <c r="J220" s="23">
        <f>Salary__2[[#This Row],[Salary]]-$O$16</f>
        <v>3276.1561261261668</v>
      </c>
      <c r="K220" s="13">
        <v>6.40625000000004</v>
      </c>
    </row>
    <row r="221" spans="1:11" x14ac:dyDescent="0.3">
      <c r="A221" s="8" t="s">
        <v>117</v>
      </c>
      <c r="B221" s="8" t="s">
        <v>118</v>
      </c>
      <c r="C221" s="8" t="s">
        <v>17</v>
      </c>
      <c r="D221" s="8" t="s">
        <v>93</v>
      </c>
      <c r="E221" s="12">
        <v>110906.35</v>
      </c>
      <c r="F221" s="7">
        <v>43434</v>
      </c>
      <c r="G221" s="8">
        <v>1</v>
      </c>
      <c r="H221" s="8" t="s">
        <v>59</v>
      </c>
      <c r="I221" s="8" t="s">
        <v>35</v>
      </c>
      <c r="J221" s="23">
        <f>Salary__2[[#This Row],[Salary]]-$O$16</f>
        <v>37862.06612612617</v>
      </c>
      <c r="K221" s="13">
        <v>6.4479166666667096</v>
      </c>
    </row>
    <row r="222" spans="1:11" x14ac:dyDescent="0.3">
      <c r="A222" s="8" t="s">
        <v>546</v>
      </c>
      <c r="B222" s="8" t="s">
        <v>633</v>
      </c>
      <c r="C222" s="8" t="s">
        <v>17</v>
      </c>
      <c r="D222" s="8" t="s">
        <v>74</v>
      </c>
      <c r="E222" s="12">
        <v>29808.07</v>
      </c>
      <c r="F222" s="7">
        <v>43291</v>
      </c>
      <c r="G222" s="8">
        <v>0.3</v>
      </c>
      <c r="H222" s="8" t="s">
        <v>59</v>
      </c>
      <c r="I222" s="8" t="s">
        <v>30</v>
      </c>
      <c r="J222" s="23">
        <f>Salary__2[[#This Row],[Salary]]-$O$16</f>
        <v>-43236.213873873836</v>
      </c>
      <c r="K222" s="13">
        <v>6.4895833333333801</v>
      </c>
    </row>
    <row r="223" spans="1:11" x14ac:dyDescent="0.3">
      <c r="A223" s="8" t="s">
        <v>238</v>
      </c>
      <c r="B223" s="8" t="s">
        <v>239</v>
      </c>
      <c r="C223" s="8" t="s">
        <v>11</v>
      </c>
      <c r="D223" s="8" t="s">
        <v>33</v>
      </c>
      <c r="E223" s="12">
        <v>47362.62</v>
      </c>
      <c r="F223" s="7">
        <v>43973</v>
      </c>
      <c r="G223" s="8">
        <v>1</v>
      </c>
      <c r="H223" s="8" t="s">
        <v>59</v>
      </c>
      <c r="I223" s="8" t="s">
        <v>14</v>
      </c>
      <c r="J223" s="23">
        <f>Salary__2[[#This Row],[Salary]]-$O$16</f>
        <v>-25681.663873873833</v>
      </c>
      <c r="K223" s="13">
        <v>6.53125000000004</v>
      </c>
    </row>
  </sheetData>
  <conditionalFormatting sqref="J1:J223">
    <cfRule type="cellIs" dxfId="3" priority="7" operator="lessThan">
      <formula>30000</formula>
    </cfRule>
    <cfRule type="cellIs" dxfId="2" priority="8" operator="greaterThan">
      <formula>30000</formula>
    </cfRule>
  </conditionalFormatting>
  <conditionalFormatting sqref="E1:E1048576">
    <cfRule type="iconSet" priority="5">
      <iconSet iconSet="5Arrows">
        <cfvo type="percent" val="0"/>
        <cfvo type="num" val="40000"/>
        <cfvo type="num" val="70000"/>
        <cfvo type="num" val="75000"/>
        <cfvo type="num" val="80000"/>
      </iconSe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{111302F8-38A2-4F7F-BB19-99224B52DF2F}</x14:id>
        </ext>
      </extLst>
    </cfRule>
  </conditionalFormatting>
  <conditionalFormatting sqref="G1:G1048576">
    <cfRule type="colorScale" priority="4">
      <colorScale>
        <cfvo type="min"/>
        <cfvo type="max"/>
        <color rgb="FFFFEF9C"/>
        <color rgb="FF63BE7B"/>
      </colorScale>
    </cfRule>
  </conditionalFormatting>
  <conditionalFormatting sqref="F1:F1048576">
    <cfRule type="cellIs" dxfId="0" priority="2" operator="equal">
      <formula>"00-00-2018"</formula>
    </cfRule>
    <cfRule type="top10" dxfId="1" priority="1" rank="10"/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1302F8-38A2-4F7F-BB19-99224B52D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F46A-41B3-43FA-8261-C5BAA47AFAB7}">
  <dimension ref="A1:I277"/>
  <sheetViews>
    <sheetView workbookViewId="0"/>
  </sheetViews>
  <sheetFormatPr defaultRowHeight="18.75" x14ac:dyDescent="0.3"/>
  <cols>
    <col min="1" max="1" width="8.09765625" bestFit="1" customWidth="1"/>
    <col min="2" max="2" width="25.296875" bestFit="1" customWidth="1"/>
    <col min="3" max="3" width="8.3984375" bestFit="1" customWidth="1"/>
    <col min="4" max="4" width="22.19921875" bestFit="1" customWidth="1"/>
    <col min="5" max="5" width="9.8984375" bestFit="1" customWidth="1"/>
    <col min="6" max="6" width="10.59765625" bestFit="1" customWidth="1"/>
    <col min="7" max="7" width="5.19921875" bestFit="1" customWidth="1"/>
    <col min="8" max="8" width="14.296875" bestFit="1" customWidth="1"/>
    <col min="9" max="9" width="20.199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637</v>
      </c>
      <c r="E2">
        <v>120000</v>
      </c>
      <c r="F2" s="7">
        <v>43416</v>
      </c>
      <c r="G2">
        <v>1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98000</v>
      </c>
      <c r="F3" s="7">
        <v>43710</v>
      </c>
      <c r="G3">
        <v>0.9</v>
      </c>
      <c r="H3" t="s">
        <v>13</v>
      </c>
      <c r="I3" t="s">
        <v>19</v>
      </c>
    </row>
    <row r="4" spans="1:9" x14ac:dyDescent="0.3">
      <c r="A4" t="s">
        <v>20</v>
      </c>
      <c r="B4" t="s">
        <v>21</v>
      </c>
      <c r="C4" t="s">
        <v>17</v>
      </c>
      <c r="D4" t="s">
        <v>22</v>
      </c>
      <c r="E4">
        <v>120000</v>
      </c>
      <c r="F4" s="7">
        <v>43902</v>
      </c>
      <c r="G4">
        <v>0.9</v>
      </c>
      <c r="H4" t="s">
        <v>13</v>
      </c>
      <c r="I4" t="s">
        <v>14</v>
      </c>
    </row>
    <row r="5" spans="1:9" x14ac:dyDescent="0.3">
      <c r="A5" t="s">
        <v>23</v>
      </c>
      <c r="B5" t="s">
        <v>24</v>
      </c>
      <c r="C5" t="s">
        <v>17</v>
      </c>
      <c r="D5" t="s">
        <v>25</v>
      </c>
      <c r="E5">
        <v>93128.34</v>
      </c>
      <c r="F5" s="7">
        <v>43164</v>
      </c>
      <c r="G5">
        <v>1</v>
      </c>
      <c r="H5" t="s">
        <v>27</v>
      </c>
      <c r="I5" t="s">
        <v>19</v>
      </c>
    </row>
    <row r="6" spans="1:9" x14ac:dyDescent="0.3">
      <c r="A6" t="s">
        <v>28</v>
      </c>
      <c r="B6" t="s">
        <v>553</v>
      </c>
      <c r="C6" t="s">
        <v>17</v>
      </c>
      <c r="D6" t="s">
        <v>25</v>
      </c>
      <c r="E6">
        <v>57002.02</v>
      </c>
      <c r="F6" s="7">
        <v>43192</v>
      </c>
      <c r="G6">
        <v>0.7</v>
      </c>
      <c r="H6" t="s">
        <v>13</v>
      </c>
      <c r="I6" t="s">
        <v>30</v>
      </c>
    </row>
    <row r="7" spans="1:9" x14ac:dyDescent="0.3">
      <c r="A7" t="s">
        <v>31</v>
      </c>
      <c r="B7" t="s">
        <v>32</v>
      </c>
      <c r="C7" t="s">
        <v>11</v>
      </c>
      <c r="D7" t="s">
        <v>33</v>
      </c>
      <c r="E7">
        <v>118976.16</v>
      </c>
      <c r="F7" s="7">
        <v>44120</v>
      </c>
      <c r="G7">
        <v>1</v>
      </c>
      <c r="H7" t="s">
        <v>13</v>
      </c>
      <c r="I7" t="s">
        <v>35</v>
      </c>
    </row>
    <row r="8" spans="1:9" x14ac:dyDescent="0.3">
      <c r="A8" t="s">
        <v>36</v>
      </c>
      <c r="B8" t="s">
        <v>554</v>
      </c>
      <c r="D8" t="s">
        <v>37</v>
      </c>
      <c r="E8">
        <v>104802.63</v>
      </c>
      <c r="F8" s="7">
        <v>44502</v>
      </c>
      <c r="G8">
        <v>1</v>
      </c>
      <c r="H8" t="s">
        <v>13</v>
      </c>
      <c r="I8" t="s">
        <v>30</v>
      </c>
    </row>
    <row r="9" spans="1:9" x14ac:dyDescent="0.3">
      <c r="A9" t="s">
        <v>38</v>
      </c>
      <c r="B9" t="s">
        <v>39</v>
      </c>
      <c r="C9" t="s">
        <v>17</v>
      </c>
      <c r="D9" t="s">
        <v>40</v>
      </c>
      <c r="E9">
        <v>66017.179999999993</v>
      </c>
      <c r="F9" s="7">
        <v>43643</v>
      </c>
      <c r="G9">
        <v>0.9</v>
      </c>
      <c r="H9" t="s">
        <v>13</v>
      </c>
      <c r="I9" t="s">
        <v>14</v>
      </c>
    </row>
    <row r="10" spans="1:9" x14ac:dyDescent="0.3">
      <c r="A10" t="s">
        <v>41</v>
      </c>
      <c r="B10" t="s">
        <v>42</v>
      </c>
      <c r="C10" t="s">
        <v>11</v>
      </c>
      <c r="D10" t="s">
        <v>43</v>
      </c>
      <c r="E10">
        <v>74279.009999999995</v>
      </c>
      <c r="F10" s="7">
        <v>43466</v>
      </c>
      <c r="G10">
        <v>1</v>
      </c>
      <c r="H10" t="s">
        <v>13</v>
      </c>
      <c r="I10" t="s">
        <v>35</v>
      </c>
    </row>
    <row r="11" spans="1:9" x14ac:dyDescent="0.3">
      <c r="A11" t="s">
        <v>44</v>
      </c>
      <c r="B11" t="s">
        <v>45</v>
      </c>
      <c r="C11" t="s">
        <v>17</v>
      </c>
      <c r="D11" t="s">
        <v>18</v>
      </c>
      <c r="E11">
        <v>68980.52</v>
      </c>
      <c r="F11" s="7">
        <v>43494</v>
      </c>
      <c r="G11">
        <v>0.8</v>
      </c>
      <c r="H11" t="s">
        <v>13</v>
      </c>
      <c r="I11" t="s">
        <v>14</v>
      </c>
    </row>
    <row r="12" spans="1:9" x14ac:dyDescent="0.3">
      <c r="A12" t="s">
        <v>46</v>
      </c>
      <c r="B12" t="s">
        <v>47</v>
      </c>
      <c r="C12" t="s">
        <v>17</v>
      </c>
      <c r="D12" t="s">
        <v>22</v>
      </c>
      <c r="E12">
        <v>42314.39</v>
      </c>
      <c r="F12" s="7">
        <v>44487</v>
      </c>
      <c r="G12">
        <v>1</v>
      </c>
      <c r="H12" t="s">
        <v>27</v>
      </c>
      <c r="I12" t="s">
        <v>14</v>
      </c>
    </row>
    <row r="13" spans="1:9" x14ac:dyDescent="0.3">
      <c r="A13" t="s">
        <v>49</v>
      </c>
      <c r="B13" t="s">
        <v>50</v>
      </c>
      <c r="C13" t="s">
        <v>17</v>
      </c>
      <c r="D13" t="s">
        <v>33</v>
      </c>
      <c r="E13">
        <v>114425.19</v>
      </c>
      <c r="F13" s="7">
        <v>43857</v>
      </c>
      <c r="G13">
        <v>1</v>
      </c>
      <c r="H13" t="s">
        <v>13</v>
      </c>
      <c r="I13" t="s">
        <v>35</v>
      </c>
    </row>
    <row r="14" spans="1:9" x14ac:dyDescent="0.3">
      <c r="A14" t="s">
        <v>52</v>
      </c>
      <c r="B14" t="s">
        <v>53</v>
      </c>
      <c r="C14" t="s">
        <v>17</v>
      </c>
      <c r="D14" t="s">
        <v>18</v>
      </c>
      <c r="E14">
        <v>69192.850000000006</v>
      </c>
      <c r="F14" s="7">
        <v>44305</v>
      </c>
      <c r="G14">
        <v>1</v>
      </c>
      <c r="H14" t="s">
        <v>13</v>
      </c>
      <c r="I14" t="s">
        <v>55</v>
      </c>
    </row>
    <row r="15" spans="1:9" x14ac:dyDescent="0.3">
      <c r="A15" t="s">
        <v>56</v>
      </c>
      <c r="B15" t="s">
        <v>57</v>
      </c>
      <c r="C15" t="s">
        <v>11</v>
      </c>
      <c r="D15" t="s">
        <v>37</v>
      </c>
      <c r="E15">
        <v>61214.26</v>
      </c>
      <c r="F15" s="7">
        <v>43171</v>
      </c>
      <c r="G15">
        <v>1</v>
      </c>
      <c r="H15" t="s">
        <v>59</v>
      </c>
      <c r="I15" t="s">
        <v>60</v>
      </c>
    </row>
    <row r="16" spans="1:9" x14ac:dyDescent="0.3">
      <c r="A16" t="s">
        <v>61</v>
      </c>
      <c r="B16" t="s">
        <v>62</v>
      </c>
      <c r="C16" t="s">
        <v>11</v>
      </c>
      <c r="D16" t="s">
        <v>37</v>
      </c>
      <c r="E16">
        <v>54137.05</v>
      </c>
      <c r="F16" s="7">
        <v>43763</v>
      </c>
      <c r="G16">
        <v>1</v>
      </c>
      <c r="H16" t="s">
        <v>13</v>
      </c>
      <c r="I16" t="s">
        <v>14</v>
      </c>
    </row>
    <row r="17" spans="1:9" x14ac:dyDescent="0.3">
      <c r="A17" t="s">
        <v>64</v>
      </c>
      <c r="B17" t="s">
        <v>555</v>
      </c>
      <c r="C17" t="s">
        <v>17</v>
      </c>
      <c r="D17" t="s">
        <v>25</v>
      </c>
      <c r="E17">
        <v>37902.35</v>
      </c>
      <c r="F17" s="7">
        <v>43823</v>
      </c>
      <c r="G17">
        <v>1</v>
      </c>
      <c r="H17" t="s">
        <v>13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33</v>
      </c>
      <c r="E18">
        <v>39969.72</v>
      </c>
      <c r="F18" s="7">
        <v>43444</v>
      </c>
      <c r="G18">
        <v>1</v>
      </c>
      <c r="H18" t="s">
        <v>59</v>
      </c>
      <c r="I18" t="s">
        <v>55</v>
      </c>
    </row>
    <row r="19" spans="1:9" x14ac:dyDescent="0.3">
      <c r="A19" t="s">
        <v>70</v>
      </c>
      <c r="B19" t="s">
        <v>71</v>
      </c>
      <c r="C19" t="s">
        <v>11</v>
      </c>
      <c r="D19" t="s">
        <v>22</v>
      </c>
      <c r="E19">
        <v>69913.39</v>
      </c>
      <c r="F19" s="7">
        <v>43584</v>
      </c>
      <c r="G19">
        <v>1</v>
      </c>
      <c r="H19" t="s">
        <v>13</v>
      </c>
      <c r="I19" t="s">
        <v>14</v>
      </c>
    </row>
    <row r="20" spans="1:9" x14ac:dyDescent="0.3">
      <c r="A20" t="s">
        <v>72</v>
      </c>
      <c r="B20" t="s">
        <v>556</v>
      </c>
      <c r="C20" t="s">
        <v>11</v>
      </c>
      <c r="D20" t="s">
        <v>43</v>
      </c>
      <c r="E20">
        <v>52748.63</v>
      </c>
      <c r="F20" s="7">
        <v>43857</v>
      </c>
      <c r="G20">
        <v>1</v>
      </c>
      <c r="H20" t="s">
        <v>13</v>
      </c>
      <c r="I20" t="s">
        <v>66</v>
      </c>
    </row>
    <row r="21" spans="1:9" x14ac:dyDescent="0.3">
      <c r="A21" t="s">
        <v>73</v>
      </c>
      <c r="B21" t="s">
        <v>557</v>
      </c>
      <c r="C21" t="s">
        <v>11</v>
      </c>
      <c r="D21" t="s">
        <v>74</v>
      </c>
      <c r="E21">
        <v>50310.09</v>
      </c>
      <c r="F21" s="7">
        <v>44285</v>
      </c>
      <c r="G21">
        <v>0.4</v>
      </c>
      <c r="H21" t="s">
        <v>13</v>
      </c>
      <c r="I21" t="s">
        <v>30</v>
      </c>
    </row>
    <row r="22" spans="1:9" x14ac:dyDescent="0.3">
      <c r="A22" t="s">
        <v>75</v>
      </c>
      <c r="B22" t="s">
        <v>76</v>
      </c>
      <c r="C22" t="s">
        <v>11</v>
      </c>
      <c r="D22" t="s">
        <v>77</v>
      </c>
      <c r="E22">
        <v>52963.65</v>
      </c>
      <c r="F22" s="7">
        <v>44288</v>
      </c>
      <c r="G22">
        <v>0.3</v>
      </c>
      <c r="H22" t="s">
        <v>13</v>
      </c>
      <c r="I22" t="s">
        <v>55</v>
      </c>
    </row>
    <row r="23" spans="1:9" x14ac:dyDescent="0.3">
      <c r="A23" t="s">
        <v>78</v>
      </c>
      <c r="B23" t="s">
        <v>79</v>
      </c>
      <c r="C23" t="s">
        <v>11</v>
      </c>
      <c r="D23" t="s">
        <v>80</v>
      </c>
      <c r="E23">
        <v>62195.47</v>
      </c>
      <c r="F23" s="7">
        <v>44434</v>
      </c>
      <c r="G23">
        <v>1</v>
      </c>
      <c r="H23" t="s">
        <v>13</v>
      </c>
      <c r="I23" t="s">
        <v>14</v>
      </c>
    </row>
    <row r="24" spans="1:9" x14ac:dyDescent="0.3">
      <c r="A24" t="s">
        <v>82</v>
      </c>
      <c r="B24" t="s">
        <v>83</v>
      </c>
      <c r="C24" t="s">
        <v>11</v>
      </c>
      <c r="D24" t="s">
        <v>33</v>
      </c>
      <c r="E24">
        <v>43329.22</v>
      </c>
      <c r="F24" s="7">
        <v>43809</v>
      </c>
      <c r="G24">
        <v>0.5</v>
      </c>
      <c r="H24" t="s">
        <v>27</v>
      </c>
      <c r="I24" t="s">
        <v>14</v>
      </c>
    </row>
    <row r="25" spans="1:9" x14ac:dyDescent="0.3">
      <c r="A25" t="s">
        <v>84</v>
      </c>
      <c r="B25" t="s">
        <v>558</v>
      </c>
      <c r="C25" t="s">
        <v>17</v>
      </c>
      <c r="D25" t="s">
        <v>25</v>
      </c>
      <c r="E25">
        <v>71570.990000000005</v>
      </c>
      <c r="F25" s="7">
        <v>44249</v>
      </c>
      <c r="G25">
        <v>0.5</v>
      </c>
      <c r="H25" t="s">
        <v>13</v>
      </c>
      <c r="I25" t="s">
        <v>30</v>
      </c>
    </row>
    <row r="26" spans="1:9" x14ac:dyDescent="0.3">
      <c r="A26" t="s">
        <v>86</v>
      </c>
      <c r="B26" t="s">
        <v>87</v>
      </c>
      <c r="D26" t="s">
        <v>25</v>
      </c>
      <c r="E26">
        <v>78840.23</v>
      </c>
      <c r="F26" s="7">
        <v>43633</v>
      </c>
      <c r="G26">
        <v>1</v>
      </c>
      <c r="H26" t="s">
        <v>59</v>
      </c>
      <c r="I26" t="s">
        <v>14</v>
      </c>
    </row>
    <row r="27" spans="1:9" x14ac:dyDescent="0.3">
      <c r="A27" t="s">
        <v>88</v>
      </c>
      <c r="B27" t="s">
        <v>559</v>
      </c>
      <c r="C27" t="s">
        <v>17</v>
      </c>
      <c r="D27" t="s">
        <v>74</v>
      </c>
      <c r="E27">
        <v>61994.76</v>
      </c>
      <c r="F27" s="7">
        <v>43794</v>
      </c>
      <c r="G27">
        <v>0.3</v>
      </c>
      <c r="H27" t="s">
        <v>13</v>
      </c>
      <c r="I27" t="s">
        <v>30</v>
      </c>
    </row>
    <row r="28" spans="1:9" x14ac:dyDescent="0.3">
      <c r="A28" t="s">
        <v>89</v>
      </c>
      <c r="B28" t="s">
        <v>90</v>
      </c>
      <c r="C28" t="s">
        <v>17</v>
      </c>
      <c r="D28" t="s">
        <v>22</v>
      </c>
      <c r="E28">
        <v>89690.38</v>
      </c>
      <c r="F28" s="7">
        <v>43206</v>
      </c>
      <c r="G28">
        <v>1</v>
      </c>
      <c r="H28" t="s">
        <v>13</v>
      </c>
      <c r="I28" t="s">
        <v>35</v>
      </c>
    </row>
    <row r="29" spans="1:9" x14ac:dyDescent="0.3">
      <c r="A29" t="s">
        <v>91</v>
      </c>
      <c r="B29" t="s">
        <v>92</v>
      </c>
      <c r="C29" t="s">
        <v>11</v>
      </c>
      <c r="D29" t="s">
        <v>93</v>
      </c>
      <c r="E29">
        <v>104335.03999999999</v>
      </c>
      <c r="F29" s="7">
        <v>43874</v>
      </c>
      <c r="G29">
        <v>1</v>
      </c>
      <c r="H29" t="s">
        <v>13</v>
      </c>
      <c r="I29" t="s">
        <v>55</v>
      </c>
    </row>
    <row r="30" spans="1:9" x14ac:dyDescent="0.3">
      <c r="A30" t="s">
        <v>94</v>
      </c>
      <c r="B30" t="s">
        <v>95</v>
      </c>
      <c r="C30" t="s">
        <v>11</v>
      </c>
      <c r="D30" t="s">
        <v>77</v>
      </c>
      <c r="E30">
        <v>52246.29</v>
      </c>
      <c r="F30" s="7">
        <v>43573</v>
      </c>
      <c r="G30">
        <v>1</v>
      </c>
      <c r="H30" t="s">
        <v>59</v>
      </c>
      <c r="I30" t="s">
        <v>35</v>
      </c>
    </row>
    <row r="31" spans="1:9" x14ac:dyDescent="0.3">
      <c r="A31" t="s">
        <v>97</v>
      </c>
      <c r="B31" t="s">
        <v>98</v>
      </c>
      <c r="C31" t="s">
        <v>11</v>
      </c>
      <c r="D31" t="s">
        <v>99</v>
      </c>
      <c r="E31">
        <v>90697.67</v>
      </c>
      <c r="F31" s="7">
        <v>44221</v>
      </c>
      <c r="G31">
        <v>0.8</v>
      </c>
      <c r="H31" t="s">
        <v>13</v>
      </c>
      <c r="I31" t="s">
        <v>19</v>
      </c>
    </row>
    <row r="32" spans="1:9" x14ac:dyDescent="0.3">
      <c r="A32" t="s">
        <v>100</v>
      </c>
      <c r="B32" t="s">
        <v>101</v>
      </c>
      <c r="C32" t="s">
        <v>11</v>
      </c>
      <c r="D32" t="s">
        <v>18</v>
      </c>
      <c r="E32">
        <v>90884.32</v>
      </c>
      <c r="F32" s="7">
        <v>43826</v>
      </c>
      <c r="G32">
        <v>1</v>
      </c>
      <c r="H32" t="s">
        <v>13</v>
      </c>
      <c r="I32" t="s">
        <v>55</v>
      </c>
    </row>
    <row r="33" spans="1:9" x14ac:dyDescent="0.3">
      <c r="A33" t="s">
        <v>103</v>
      </c>
      <c r="B33" t="s">
        <v>104</v>
      </c>
      <c r="C33" t="s">
        <v>11</v>
      </c>
      <c r="D33" t="s">
        <v>74</v>
      </c>
      <c r="E33">
        <v>76320.44</v>
      </c>
      <c r="F33" s="7">
        <v>44383</v>
      </c>
      <c r="G33">
        <v>0.8</v>
      </c>
      <c r="H33" t="s">
        <v>59</v>
      </c>
      <c r="I33" t="s">
        <v>14</v>
      </c>
    </row>
    <row r="34" spans="1:9" x14ac:dyDescent="0.3">
      <c r="A34" t="s">
        <v>105</v>
      </c>
      <c r="B34" t="s">
        <v>106</v>
      </c>
      <c r="C34" t="s">
        <v>11</v>
      </c>
      <c r="D34" t="s">
        <v>18</v>
      </c>
      <c r="E34">
        <v>73360.38</v>
      </c>
      <c r="F34" s="7">
        <v>43972</v>
      </c>
      <c r="G34">
        <v>1</v>
      </c>
      <c r="H34" t="s">
        <v>59</v>
      </c>
      <c r="I34" t="s">
        <v>14</v>
      </c>
    </row>
    <row r="35" spans="1:9" x14ac:dyDescent="0.3">
      <c r="A35" t="s">
        <v>107</v>
      </c>
      <c r="B35" t="s">
        <v>108</v>
      </c>
      <c r="C35" t="s">
        <v>11</v>
      </c>
      <c r="D35" t="s">
        <v>637</v>
      </c>
      <c r="F35" s="7">
        <v>44055</v>
      </c>
      <c r="G35">
        <v>0.7</v>
      </c>
      <c r="H35" t="s">
        <v>13</v>
      </c>
      <c r="I35" t="s">
        <v>60</v>
      </c>
    </row>
    <row r="36" spans="1:9" x14ac:dyDescent="0.3">
      <c r="A36" t="s">
        <v>110</v>
      </c>
      <c r="B36" t="s">
        <v>111</v>
      </c>
      <c r="C36" t="s">
        <v>17</v>
      </c>
      <c r="D36" t="s">
        <v>43</v>
      </c>
      <c r="E36">
        <v>50449.46</v>
      </c>
      <c r="F36" s="7">
        <v>43418</v>
      </c>
      <c r="G36">
        <v>0.8</v>
      </c>
      <c r="H36" t="s">
        <v>13</v>
      </c>
      <c r="I36" t="s">
        <v>60</v>
      </c>
    </row>
    <row r="37" spans="1:9" x14ac:dyDescent="0.3">
      <c r="A37" t="s">
        <v>113</v>
      </c>
      <c r="B37" t="s">
        <v>114</v>
      </c>
      <c r="C37" t="s">
        <v>11</v>
      </c>
      <c r="D37" t="s">
        <v>25</v>
      </c>
      <c r="E37">
        <v>53949.26</v>
      </c>
      <c r="F37" s="7">
        <v>43808</v>
      </c>
      <c r="G37">
        <v>1</v>
      </c>
      <c r="H37" t="s">
        <v>59</v>
      </c>
      <c r="I37" t="s">
        <v>55</v>
      </c>
    </row>
    <row r="38" spans="1:9" x14ac:dyDescent="0.3">
      <c r="A38" t="s">
        <v>115</v>
      </c>
      <c r="B38" t="s">
        <v>116</v>
      </c>
      <c r="C38" t="s">
        <v>11</v>
      </c>
      <c r="D38" t="s">
        <v>99</v>
      </c>
      <c r="E38">
        <v>113616.23</v>
      </c>
      <c r="F38" s="7">
        <v>43255</v>
      </c>
      <c r="G38">
        <v>1</v>
      </c>
      <c r="H38" t="s">
        <v>13</v>
      </c>
      <c r="I38" t="s">
        <v>14</v>
      </c>
    </row>
    <row r="39" spans="1:9" x14ac:dyDescent="0.3">
      <c r="A39" t="s">
        <v>117</v>
      </c>
      <c r="B39" t="s">
        <v>118</v>
      </c>
      <c r="C39" t="s">
        <v>17</v>
      </c>
      <c r="D39" t="s">
        <v>93</v>
      </c>
      <c r="E39">
        <v>110906.35</v>
      </c>
      <c r="F39" s="7">
        <v>43434</v>
      </c>
      <c r="G39">
        <v>1</v>
      </c>
      <c r="H39" t="s">
        <v>59</v>
      </c>
      <c r="I39" t="s">
        <v>35</v>
      </c>
    </row>
    <row r="40" spans="1:9" x14ac:dyDescent="0.3">
      <c r="A40" t="s">
        <v>120</v>
      </c>
      <c r="B40" t="s">
        <v>121</v>
      </c>
      <c r="C40" t="s">
        <v>17</v>
      </c>
      <c r="D40" t="s">
        <v>37</v>
      </c>
      <c r="E40">
        <v>100371.31</v>
      </c>
      <c r="F40" s="7">
        <v>44067</v>
      </c>
      <c r="G40">
        <v>0.8</v>
      </c>
      <c r="H40" t="s">
        <v>27</v>
      </c>
      <c r="I40" t="s">
        <v>60</v>
      </c>
    </row>
    <row r="41" spans="1:9" x14ac:dyDescent="0.3">
      <c r="A41" t="s">
        <v>122</v>
      </c>
      <c r="B41" t="s">
        <v>123</v>
      </c>
      <c r="C41" t="s">
        <v>17</v>
      </c>
      <c r="D41" t="s">
        <v>77</v>
      </c>
      <c r="E41">
        <v>69163.39</v>
      </c>
      <c r="F41" s="7">
        <v>43397</v>
      </c>
      <c r="G41">
        <v>1</v>
      </c>
      <c r="H41" t="s">
        <v>13</v>
      </c>
      <c r="I41" t="s">
        <v>14</v>
      </c>
    </row>
    <row r="42" spans="1:9" x14ac:dyDescent="0.3">
      <c r="A42" t="s">
        <v>124</v>
      </c>
      <c r="B42" t="s">
        <v>125</v>
      </c>
      <c r="C42" t="s">
        <v>11</v>
      </c>
      <c r="D42" t="s">
        <v>25</v>
      </c>
      <c r="E42">
        <v>114691.03</v>
      </c>
      <c r="F42" s="7">
        <v>44039</v>
      </c>
      <c r="G42">
        <v>1</v>
      </c>
      <c r="H42" t="s">
        <v>59</v>
      </c>
      <c r="I42" t="s">
        <v>35</v>
      </c>
    </row>
    <row r="43" spans="1:9" x14ac:dyDescent="0.3">
      <c r="A43" t="s">
        <v>127</v>
      </c>
      <c r="B43" t="s">
        <v>560</v>
      </c>
      <c r="C43" t="s">
        <v>11</v>
      </c>
      <c r="D43" t="s">
        <v>74</v>
      </c>
      <c r="E43">
        <v>86556.96</v>
      </c>
      <c r="F43" s="7">
        <v>44104</v>
      </c>
      <c r="G43">
        <v>1</v>
      </c>
      <c r="H43" t="s">
        <v>13</v>
      </c>
      <c r="I43" t="s">
        <v>30</v>
      </c>
    </row>
    <row r="44" spans="1:9" x14ac:dyDescent="0.3">
      <c r="A44" t="s">
        <v>129</v>
      </c>
      <c r="B44" t="s">
        <v>130</v>
      </c>
      <c r="C44" t="s">
        <v>17</v>
      </c>
      <c r="D44" t="s">
        <v>22</v>
      </c>
      <c r="E44">
        <v>31172.77</v>
      </c>
      <c r="F44" s="7">
        <v>43665</v>
      </c>
      <c r="G44">
        <v>1</v>
      </c>
      <c r="H44" t="s">
        <v>27</v>
      </c>
      <c r="I44" t="s">
        <v>14</v>
      </c>
    </row>
    <row r="45" spans="1:9" x14ac:dyDescent="0.3">
      <c r="A45" t="s">
        <v>132</v>
      </c>
      <c r="B45" t="s">
        <v>133</v>
      </c>
      <c r="C45" t="s">
        <v>11</v>
      </c>
      <c r="D45" t="s">
        <v>18</v>
      </c>
      <c r="E45">
        <v>80169.42</v>
      </c>
      <c r="F45" s="7">
        <v>44053</v>
      </c>
      <c r="G45">
        <v>1</v>
      </c>
      <c r="H45" t="s">
        <v>13</v>
      </c>
      <c r="I45" t="s">
        <v>60</v>
      </c>
    </row>
    <row r="46" spans="1:9" x14ac:dyDescent="0.3">
      <c r="A46" t="s">
        <v>113</v>
      </c>
      <c r="B46" t="s">
        <v>114</v>
      </c>
      <c r="C46" t="s">
        <v>11</v>
      </c>
      <c r="D46" t="s">
        <v>25</v>
      </c>
      <c r="E46">
        <v>53949.26</v>
      </c>
      <c r="F46" s="7">
        <v>43808</v>
      </c>
      <c r="G46">
        <v>1</v>
      </c>
      <c r="H46" t="s">
        <v>59</v>
      </c>
      <c r="I46" t="s">
        <v>55</v>
      </c>
    </row>
    <row r="47" spans="1:9" x14ac:dyDescent="0.3">
      <c r="A47" t="s">
        <v>135</v>
      </c>
      <c r="B47" t="s">
        <v>561</v>
      </c>
      <c r="C47" t="s">
        <v>17</v>
      </c>
      <c r="D47" t="s">
        <v>37</v>
      </c>
      <c r="E47">
        <v>58935.92</v>
      </c>
      <c r="F47" s="7">
        <v>43717</v>
      </c>
      <c r="G47">
        <v>1</v>
      </c>
      <c r="H47" t="s">
        <v>59</v>
      </c>
      <c r="I47" t="s">
        <v>30</v>
      </c>
    </row>
    <row r="48" spans="1:9" x14ac:dyDescent="0.3">
      <c r="A48" t="s">
        <v>137</v>
      </c>
      <c r="B48" t="s">
        <v>562</v>
      </c>
      <c r="C48" t="s">
        <v>17</v>
      </c>
      <c r="D48" t="s">
        <v>37</v>
      </c>
      <c r="E48">
        <v>63555.73</v>
      </c>
      <c r="F48" s="7">
        <v>44159</v>
      </c>
      <c r="G48">
        <v>1</v>
      </c>
      <c r="H48" t="s">
        <v>13</v>
      </c>
      <c r="I48" t="s">
        <v>66</v>
      </c>
    </row>
    <row r="49" spans="1:9" x14ac:dyDescent="0.3">
      <c r="A49" t="s">
        <v>139</v>
      </c>
      <c r="B49" t="s">
        <v>140</v>
      </c>
      <c r="C49" t="s">
        <v>11</v>
      </c>
      <c r="D49" t="s">
        <v>77</v>
      </c>
      <c r="E49">
        <v>57419.35</v>
      </c>
      <c r="F49" s="7">
        <v>43305</v>
      </c>
      <c r="G49">
        <v>1</v>
      </c>
      <c r="H49" t="s">
        <v>27</v>
      </c>
      <c r="I49" t="s">
        <v>60</v>
      </c>
    </row>
    <row r="50" spans="1:9" x14ac:dyDescent="0.3">
      <c r="A50" t="s">
        <v>141</v>
      </c>
      <c r="B50" t="s">
        <v>142</v>
      </c>
      <c r="C50" t="s">
        <v>17</v>
      </c>
      <c r="D50" t="s">
        <v>93</v>
      </c>
      <c r="E50">
        <v>67818.14</v>
      </c>
      <c r="F50" s="7">
        <v>43406</v>
      </c>
      <c r="G50">
        <v>0.6</v>
      </c>
      <c r="H50" t="s">
        <v>27</v>
      </c>
      <c r="I50" t="s">
        <v>14</v>
      </c>
    </row>
    <row r="51" spans="1:9" x14ac:dyDescent="0.3">
      <c r="A51" t="s">
        <v>144</v>
      </c>
      <c r="B51" t="s">
        <v>563</v>
      </c>
      <c r="C51" t="s">
        <v>17</v>
      </c>
      <c r="D51" t="s">
        <v>637</v>
      </c>
      <c r="E51">
        <v>44403.77</v>
      </c>
      <c r="F51" s="7">
        <v>43416</v>
      </c>
      <c r="G51">
        <v>1</v>
      </c>
      <c r="H51" t="s">
        <v>13</v>
      </c>
      <c r="I51" t="s">
        <v>30</v>
      </c>
    </row>
    <row r="52" spans="1:9" x14ac:dyDescent="0.3">
      <c r="A52" t="s">
        <v>145</v>
      </c>
      <c r="B52" t="s">
        <v>146</v>
      </c>
      <c r="C52" t="s">
        <v>11</v>
      </c>
      <c r="D52" t="s">
        <v>40</v>
      </c>
      <c r="E52">
        <v>40753.54</v>
      </c>
      <c r="F52" s="7">
        <v>43152</v>
      </c>
      <c r="G52">
        <v>0.6</v>
      </c>
      <c r="H52" t="s">
        <v>13</v>
      </c>
      <c r="I52" t="s">
        <v>35</v>
      </c>
    </row>
    <row r="53" spans="1:9" x14ac:dyDescent="0.3">
      <c r="A53" t="s">
        <v>147</v>
      </c>
      <c r="B53" t="s">
        <v>564</v>
      </c>
      <c r="C53" t="s">
        <v>17</v>
      </c>
      <c r="D53" t="s">
        <v>25</v>
      </c>
      <c r="E53">
        <v>102934.09</v>
      </c>
      <c r="F53" s="7">
        <v>44315</v>
      </c>
      <c r="G53">
        <v>1</v>
      </c>
      <c r="H53" t="s">
        <v>13</v>
      </c>
      <c r="I53" t="s">
        <v>30</v>
      </c>
    </row>
    <row r="54" spans="1:9" x14ac:dyDescent="0.3">
      <c r="A54" t="s">
        <v>149</v>
      </c>
      <c r="B54" t="s">
        <v>150</v>
      </c>
      <c r="C54" t="s">
        <v>11</v>
      </c>
      <c r="D54" t="s">
        <v>80</v>
      </c>
      <c r="E54">
        <v>68860.399999999994</v>
      </c>
      <c r="F54" s="7">
        <v>43508</v>
      </c>
      <c r="G54">
        <v>0.4</v>
      </c>
      <c r="H54" t="s">
        <v>13</v>
      </c>
      <c r="I54" t="s">
        <v>55</v>
      </c>
    </row>
    <row r="55" spans="1:9" x14ac:dyDescent="0.3">
      <c r="A55" t="s">
        <v>151</v>
      </c>
      <c r="B55" t="s">
        <v>565</v>
      </c>
      <c r="C55" t="s">
        <v>11</v>
      </c>
      <c r="D55" t="s">
        <v>25</v>
      </c>
      <c r="E55">
        <v>79567.69</v>
      </c>
      <c r="F55" s="7">
        <v>43272</v>
      </c>
      <c r="G55">
        <v>1</v>
      </c>
      <c r="H55" t="s">
        <v>27</v>
      </c>
      <c r="I55" t="s">
        <v>66</v>
      </c>
    </row>
    <row r="56" spans="1:9" x14ac:dyDescent="0.3">
      <c r="A56" t="s">
        <v>152</v>
      </c>
      <c r="B56" t="s">
        <v>153</v>
      </c>
      <c r="C56" t="s">
        <v>17</v>
      </c>
      <c r="D56" t="s">
        <v>74</v>
      </c>
      <c r="E56">
        <v>35943.620000000003</v>
      </c>
      <c r="F56" s="7">
        <v>44078</v>
      </c>
      <c r="G56">
        <v>1</v>
      </c>
      <c r="H56" t="s">
        <v>13</v>
      </c>
      <c r="I56" t="s">
        <v>55</v>
      </c>
    </row>
    <row r="57" spans="1:9" x14ac:dyDescent="0.3">
      <c r="A57" t="s">
        <v>154</v>
      </c>
      <c r="B57" t="s">
        <v>566</v>
      </c>
      <c r="C57" t="s">
        <v>17</v>
      </c>
      <c r="D57" t="s">
        <v>25</v>
      </c>
      <c r="E57">
        <v>116767.63</v>
      </c>
      <c r="F57" s="7">
        <v>43949</v>
      </c>
      <c r="G57">
        <v>0.4</v>
      </c>
      <c r="H57" t="s">
        <v>59</v>
      </c>
      <c r="I57" t="s">
        <v>66</v>
      </c>
    </row>
    <row r="58" spans="1:9" x14ac:dyDescent="0.3">
      <c r="A58" t="s">
        <v>155</v>
      </c>
      <c r="B58" t="s">
        <v>156</v>
      </c>
      <c r="C58" t="s">
        <v>11</v>
      </c>
      <c r="D58" t="s">
        <v>43</v>
      </c>
      <c r="E58">
        <v>85455.53</v>
      </c>
      <c r="F58" s="7">
        <v>43839</v>
      </c>
      <c r="G58">
        <v>1</v>
      </c>
      <c r="H58" t="s">
        <v>13</v>
      </c>
      <c r="I58" t="s">
        <v>35</v>
      </c>
    </row>
    <row r="59" spans="1:9" x14ac:dyDescent="0.3">
      <c r="A59" t="s">
        <v>157</v>
      </c>
      <c r="B59" t="s">
        <v>567</v>
      </c>
      <c r="C59" t="s">
        <v>17</v>
      </c>
      <c r="D59" t="s">
        <v>43</v>
      </c>
      <c r="E59">
        <v>39700.82</v>
      </c>
      <c r="F59" s="7">
        <v>44203</v>
      </c>
      <c r="G59">
        <v>0.8</v>
      </c>
      <c r="H59" t="s">
        <v>13</v>
      </c>
      <c r="I59" t="s">
        <v>66</v>
      </c>
    </row>
    <row r="60" spans="1:9" x14ac:dyDescent="0.3">
      <c r="A60" t="s">
        <v>158</v>
      </c>
      <c r="B60" t="s">
        <v>568</v>
      </c>
      <c r="C60" t="s">
        <v>17</v>
      </c>
      <c r="D60" t="s">
        <v>93</v>
      </c>
      <c r="E60">
        <v>38438.239999999998</v>
      </c>
      <c r="F60" s="7">
        <v>43962</v>
      </c>
      <c r="G60">
        <v>1</v>
      </c>
      <c r="H60" t="s">
        <v>13</v>
      </c>
      <c r="I60" t="s">
        <v>66</v>
      </c>
    </row>
    <row r="61" spans="1:9" x14ac:dyDescent="0.3">
      <c r="A61" t="s">
        <v>160</v>
      </c>
      <c r="B61" t="s">
        <v>161</v>
      </c>
      <c r="C61" t="s">
        <v>11</v>
      </c>
      <c r="D61" t="s">
        <v>33</v>
      </c>
      <c r="E61">
        <v>50855.53</v>
      </c>
      <c r="F61" s="7">
        <v>44221</v>
      </c>
      <c r="G61">
        <v>1</v>
      </c>
      <c r="H61" t="s">
        <v>13</v>
      </c>
      <c r="I61" t="s">
        <v>35</v>
      </c>
    </row>
    <row r="62" spans="1:9" x14ac:dyDescent="0.3">
      <c r="A62" t="s">
        <v>163</v>
      </c>
      <c r="B62" t="s">
        <v>164</v>
      </c>
      <c r="C62" t="s">
        <v>11</v>
      </c>
      <c r="D62" t="s">
        <v>37</v>
      </c>
      <c r="E62">
        <v>0</v>
      </c>
      <c r="F62" s="7">
        <v>43724</v>
      </c>
      <c r="G62">
        <v>0.2</v>
      </c>
      <c r="H62" t="s">
        <v>13</v>
      </c>
      <c r="I62" t="s">
        <v>60</v>
      </c>
    </row>
    <row r="63" spans="1:9" x14ac:dyDescent="0.3">
      <c r="A63" t="s">
        <v>166</v>
      </c>
      <c r="B63" t="s">
        <v>167</v>
      </c>
      <c r="C63" t="s">
        <v>11</v>
      </c>
      <c r="D63" t="s">
        <v>40</v>
      </c>
      <c r="E63">
        <v>37362.300000000003</v>
      </c>
      <c r="F63" s="7">
        <v>43642</v>
      </c>
      <c r="G63">
        <v>1</v>
      </c>
      <c r="H63" t="s">
        <v>13</v>
      </c>
      <c r="I63" t="s">
        <v>60</v>
      </c>
    </row>
    <row r="64" spans="1:9" x14ac:dyDescent="0.3">
      <c r="A64" t="s">
        <v>169</v>
      </c>
      <c r="B64" t="s">
        <v>170</v>
      </c>
      <c r="C64" t="s">
        <v>11</v>
      </c>
      <c r="D64" t="s">
        <v>74</v>
      </c>
      <c r="E64">
        <v>72876.91</v>
      </c>
      <c r="F64" s="7">
        <v>43612</v>
      </c>
      <c r="G64">
        <v>0.4</v>
      </c>
      <c r="H64" t="s">
        <v>27</v>
      </c>
      <c r="I64" t="s">
        <v>60</v>
      </c>
    </row>
    <row r="65" spans="1:9" x14ac:dyDescent="0.3">
      <c r="A65" t="s">
        <v>172</v>
      </c>
      <c r="B65" t="s">
        <v>173</v>
      </c>
      <c r="C65" t="s">
        <v>17</v>
      </c>
      <c r="D65" t="s">
        <v>99</v>
      </c>
      <c r="E65">
        <v>31042.51</v>
      </c>
      <c r="F65" s="7">
        <v>44473</v>
      </c>
      <c r="G65">
        <v>0.3</v>
      </c>
      <c r="H65" t="s">
        <v>27</v>
      </c>
      <c r="I65" t="s">
        <v>14</v>
      </c>
    </row>
    <row r="66" spans="1:9" x14ac:dyDescent="0.3">
      <c r="A66" t="s">
        <v>174</v>
      </c>
      <c r="B66" t="s">
        <v>569</v>
      </c>
      <c r="C66" t="s">
        <v>17</v>
      </c>
      <c r="D66" t="s">
        <v>99</v>
      </c>
      <c r="E66">
        <v>63705.4</v>
      </c>
      <c r="F66" s="7">
        <v>43682</v>
      </c>
      <c r="G66">
        <v>1</v>
      </c>
      <c r="H66" t="s">
        <v>13</v>
      </c>
      <c r="I66" t="s">
        <v>30</v>
      </c>
    </row>
    <row r="67" spans="1:9" x14ac:dyDescent="0.3">
      <c r="A67" t="s">
        <v>175</v>
      </c>
      <c r="B67" t="s">
        <v>176</v>
      </c>
      <c r="C67" t="s">
        <v>17</v>
      </c>
      <c r="D67" t="s">
        <v>43</v>
      </c>
      <c r="E67">
        <v>59434.18</v>
      </c>
      <c r="F67" s="7">
        <v>43931</v>
      </c>
      <c r="G67">
        <v>1</v>
      </c>
      <c r="H67" t="s">
        <v>59</v>
      </c>
      <c r="I67" t="s">
        <v>19</v>
      </c>
    </row>
    <row r="68" spans="1:9" x14ac:dyDescent="0.3">
      <c r="A68" t="s">
        <v>178</v>
      </c>
      <c r="B68" t="s">
        <v>570</v>
      </c>
      <c r="C68" t="s">
        <v>17</v>
      </c>
      <c r="D68" t="s">
        <v>80</v>
      </c>
      <c r="E68">
        <v>84762.76</v>
      </c>
      <c r="F68" s="7">
        <v>43332</v>
      </c>
      <c r="G68">
        <v>1</v>
      </c>
      <c r="H68" t="s">
        <v>13</v>
      </c>
      <c r="I68" t="s">
        <v>30</v>
      </c>
    </row>
    <row r="69" spans="1:9" x14ac:dyDescent="0.3">
      <c r="A69" t="s">
        <v>179</v>
      </c>
      <c r="B69" t="s">
        <v>180</v>
      </c>
      <c r="C69" t="s">
        <v>17</v>
      </c>
      <c r="D69" t="s">
        <v>22</v>
      </c>
      <c r="E69">
        <v>69057.320000000007</v>
      </c>
      <c r="F69" s="7">
        <v>43390</v>
      </c>
      <c r="G69">
        <v>1</v>
      </c>
      <c r="H69" t="s">
        <v>13</v>
      </c>
      <c r="I69" t="s">
        <v>35</v>
      </c>
    </row>
    <row r="70" spans="1:9" x14ac:dyDescent="0.3">
      <c r="A70" t="s">
        <v>181</v>
      </c>
      <c r="B70" t="s">
        <v>182</v>
      </c>
      <c r="D70" t="s">
        <v>74</v>
      </c>
      <c r="E70">
        <v>99448.78</v>
      </c>
      <c r="F70" s="7">
        <v>43473</v>
      </c>
      <c r="G70">
        <v>1</v>
      </c>
      <c r="H70" t="s">
        <v>27</v>
      </c>
      <c r="I70" t="s">
        <v>35</v>
      </c>
    </row>
    <row r="71" spans="1:9" x14ac:dyDescent="0.3">
      <c r="A71" t="s">
        <v>184</v>
      </c>
      <c r="B71" t="s">
        <v>185</v>
      </c>
      <c r="C71" t="s">
        <v>17</v>
      </c>
      <c r="D71" t="s">
        <v>93</v>
      </c>
      <c r="E71">
        <v>66865.490000000005</v>
      </c>
      <c r="F71" s="7">
        <v>43514</v>
      </c>
      <c r="G71">
        <v>1</v>
      </c>
      <c r="H71" t="s">
        <v>13</v>
      </c>
      <c r="I71" t="s">
        <v>19</v>
      </c>
    </row>
    <row r="72" spans="1:9" x14ac:dyDescent="0.3">
      <c r="A72" t="s">
        <v>187</v>
      </c>
      <c r="B72" t="s">
        <v>188</v>
      </c>
      <c r="C72" t="s">
        <v>11</v>
      </c>
      <c r="D72" t="s">
        <v>99</v>
      </c>
      <c r="E72">
        <v>113747.56</v>
      </c>
      <c r="F72" s="7">
        <v>44270</v>
      </c>
      <c r="G72">
        <v>0.7</v>
      </c>
      <c r="H72" t="s">
        <v>59</v>
      </c>
      <c r="I72" t="s">
        <v>55</v>
      </c>
    </row>
    <row r="73" spans="1:9" x14ac:dyDescent="0.3">
      <c r="A73" t="s">
        <v>190</v>
      </c>
      <c r="B73" t="s">
        <v>191</v>
      </c>
      <c r="C73" t="s">
        <v>11</v>
      </c>
      <c r="D73" t="s">
        <v>18</v>
      </c>
      <c r="E73">
        <v>85918.61</v>
      </c>
      <c r="F73" s="7">
        <v>43136</v>
      </c>
      <c r="G73">
        <v>1</v>
      </c>
      <c r="H73" t="s">
        <v>13</v>
      </c>
      <c r="I73" t="s">
        <v>55</v>
      </c>
    </row>
    <row r="74" spans="1:9" x14ac:dyDescent="0.3">
      <c r="A74" t="s">
        <v>193</v>
      </c>
      <c r="B74" t="s">
        <v>571</v>
      </c>
      <c r="C74" t="s">
        <v>17</v>
      </c>
      <c r="D74" t="s">
        <v>637</v>
      </c>
      <c r="E74">
        <v>51165.37</v>
      </c>
      <c r="F74" s="7">
        <v>44237</v>
      </c>
      <c r="G74">
        <v>1</v>
      </c>
      <c r="H74" t="s">
        <v>27</v>
      </c>
      <c r="I74" t="s">
        <v>30</v>
      </c>
    </row>
    <row r="75" spans="1:9" x14ac:dyDescent="0.3">
      <c r="A75" t="s">
        <v>195</v>
      </c>
      <c r="B75" t="s">
        <v>196</v>
      </c>
      <c r="C75" t="s">
        <v>17</v>
      </c>
      <c r="D75" t="s">
        <v>99</v>
      </c>
      <c r="F75" s="7">
        <v>44011</v>
      </c>
      <c r="G75">
        <v>1</v>
      </c>
      <c r="H75" t="s">
        <v>13</v>
      </c>
      <c r="I75" t="s">
        <v>35</v>
      </c>
    </row>
    <row r="76" spans="1:9" x14ac:dyDescent="0.3">
      <c r="A76" t="s">
        <v>197</v>
      </c>
      <c r="B76" t="s">
        <v>572</v>
      </c>
      <c r="D76" t="s">
        <v>74</v>
      </c>
      <c r="E76">
        <v>67957.899999999994</v>
      </c>
      <c r="F76" s="7">
        <v>43430</v>
      </c>
      <c r="G76">
        <v>1</v>
      </c>
      <c r="H76" t="s">
        <v>13</v>
      </c>
      <c r="I76" t="s">
        <v>66</v>
      </c>
    </row>
    <row r="77" spans="1:9" x14ac:dyDescent="0.3">
      <c r="A77" t="s">
        <v>198</v>
      </c>
      <c r="B77" t="s">
        <v>199</v>
      </c>
      <c r="C77" t="s">
        <v>11</v>
      </c>
      <c r="D77" t="s">
        <v>33</v>
      </c>
      <c r="E77">
        <v>114465.93</v>
      </c>
      <c r="F77" s="7">
        <v>43291</v>
      </c>
      <c r="G77">
        <v>1</v>
      </c>
      <c r="H77" t="s">
        <v>59</v>
      </c>
      <c r="I77" t="s">
        <v>35</v>
      </c>
    </row>
    <row r="78" spans="1:9" x14ac:dyDescent="0.3">
      <c r="A78" t="s">
        <v>200</v>
      </c>
      <c r="B78" t="s">
        <v>201</v>
      </c>
      <c r="C78" t="s">
        <v>11</v>
      </c>
      <c r="D78" t="s">
        <v>40</v>
      </c>
      <c r="E78">
        <v>65699.02</v>
      </c>
      <c r="F78" s="7">
        <v>43951</v>
      </c>
      <c r="G78">
        <v>1</v>
      </c>
      <c r="H78" t="s">
        <v>13</v>
      </c>
      <c r="I78" t="s">
        <v>55</v>
      </c>
    </row>
    <row r="79" spans="1:9" x14ac:dyDescent="0.3">
      <c r="A79" t="s">
        <v>203</v>
      </c>
      <c r="B79" t="s">
        <v>204</v>
      </c>
      <c r="C79" t="s">
        <v>11</v>
      </c>
      <c r="D79" t="s">
        <v>80</v>
      </c>
      <c r="E79">
        <v>83191.95</v>
      </c>
      <c r="F79" s="7">
        <v>43700</v>
      </c>
      <c r="G79">
        <v>0.6</v>
      </c>
      <c r="H79" t="s">
        <v>59</v>
      </c>
      <c r="I79" t="s">
        <v>14</v>
      </c>
    </row>
    <row r="80" spans="1:9" x14ac:dyDescent="0.3">
      <c r="A80" t="s">
        <v>205</v>
      </c>
      <c r="B80" t="s">
        <v>573</v>
      </c>
      <c r="C80" t="s">
        <v>11</v>
      </c>
      <c r="D80" t="s">
        <v>93</v>
      </c>
      <c r="E80">
        <v>106775.14</v>
      </c>
      <c r="F80" s="7">
        <v>43563</v>
      </c>
      <c r="G80">
        <v>1</v>
      </c>
      <c r="H80" t="s">
        <v>27</v>
      </c>
      <c r="I80" t="s">
        <v>30</v>
      </c>
    </row>
    <row r="81" spans="1:9" x14ac:dyDescent="0.3">
      <c r="A81" t="s">
        <v>206</v>
      </c>
      <c r="B81" t="s">
        <v>207</v>
      </c>
      <c r="C81" t="s">
        <v>11</v>
      </c>
      <c r="D81" t="s">
        <v>74</v>
      </c>
      <c r="E81">
        <v>83396.5</v>
      </c>
      <c r="F81" s="7">
        <v>44285</v>
      </c>
      <c r="G81">
        <v>1</v>
      </c>
      <c r="H81" t="s">
        <v>59</v>
      </c>
      <c r="I81" t="s">
        <v>60</v>
      </c>
    </row>
    <row r="82" spans="1:9" x14ac:dyDescent="0.3">
      <c r="A82" t="s">
        <v>209</v>
      </c>
      <c r="B82" t="s">
        <v>574</v>
      </c>
      <c r="C82" t="s">
        <v>11</v>
      </c>
      <c r="D82" t="s">
        <v>99</v>
      </c>
      <c r="E82">
        <v>28481.16</v>
      </c>
      <c r="F82" s="7">
        <v>44228</v>
      </c>
      <c r="G82">
        <v>1</v>
      </c>
      <c r="H82" t="s">
        <v>59</v>
      </c>
      <c r="I82" t="s">
        <v>66</v>
      </c>
    </row>
    <row r="83" spans="1:9" x14ac:dyDescent="0.3">
      <c r="A83" t="s">
        <v>211</v>
      </c>
      <c r="B83" t="s">
        <v>575</v>
      </c>
      <c r="C83" t="s">
        <v>11</v>
      </c>
      <c r="D83" t="s">
        <v>80</v>
      </c>
      <c r="E83">
        <v>32192.15</v>
      </c>
      <c r="F83" s="7">
        <v>44473</v>
      </c>
      <c r="G83">
        <v>1</v>
      </c>
      <c r="H83" t="s">
        <v>13</v>
      </c>
      <c r="I83" t="s">
        <v>30</v>
      </c>
    </row>
    <row r="84" spans="1:9" x14ac:dyDescent="0.3">
      <c r="A84" t="s">
        <v>213</v>
      </c>
      <c r="B84" t="s">
        <v>214</v>
      </c>
      <c r="C84" t="s">
        <v>11</v>
      </c>
      <c r="D84" t="s">
        <v>637</v>
      </c>
      <c r="E84">
        <v>112645.99</v>
      </c>
      <c r="F84" s="7">
        <v>43759</v>
      </c>
      <c r="G84">
        <v>0.6</v>
      </c>
      <c r="H84" t="s">
        <v>13</v>
      </c>
      <c r="I84" t="s">
        <v>19</v>
      </c>
    </row>
    <row r="85" spans="1:9" x14ac:dyDescent="0.3">
      <c r="A85" t="s">
        <v>216</v>
      </c>
      <c r="B85" t="s">
        <v>576</v>
      </c>
      <c r="D85" t="s">
        <v>77</v>
      </c>
      <c r="E85">
        <v>107107.6</v>
      </c>
      <c r="F85" s="7">
        <v>43325</v>
      </c>
      <c r="G85">
        <v>0.9</v>
      </c>
      <c r="H85" t="s">
        <v>13</v>
      </c>
      <c r="I85" t="s">
        <v>66</v>
      </c>
    </row>
    <row r="86" spans="1:9" x14ac:dyDescent="0.3">
      <c r="A86" t="s">
        <v>218</v>
      </c>
      <c r="B86" t="s">
        <v>219</v>
      </c>
      <c r="C86" t="s">
        <v>17</v>
      </c>
      <c r="D86" t="s">
        <v>18</v>
      </c>
      <c r="E86">
        <v>80695.740000000005</v>
      </c>
      <c r="F86" s="7">
        <v>43787</v>
      </c>
      <c r="G86">
        <v>0.8</v>
      </c>
      <c r="H86" t="s">
        <v>13</v>
      </c>
      <c r="I86" t="s">
        <v>55</v>
      </c>
    </row>
    <row r="87" spans="1:9" x14ac:dyDescent="0.3">
      <c r="A87" t="s">
        <v>221</v>
      </c>
      <c r="B87" t="s">
        <v>222</v>
      </c>
      <c r="C87" t="s">
        <v>17</v>
      </c>
      <c r="D87" t="s">
        <v>93</v>
      </c>
      <c r="E87">
        <v>75475.929999999993</v>
      </c>
      <c r="F87" s="7">
        <v>43794</v>
      </c>
      <c r="G87">
        <v>1</v>
      </c>
      <c r="H87" t="s">
        <v>13</v>
      </c>
      <c r="I87" t="s">
        <v>14</v>
      </c>
    </row>
    <row r="88" spans="1:9" x14ac:dyDescent="0.3">
      <c r="A88" t="s">
        <v>224</v>
      </c>
      <c r="B88" t="s">
        <v>225</v>
      </c>
      <c r="C88" t="s">
        <v>17</v>
      </c>
      <c r="D88" t="s">
        <v>18</v>
      </c>
      <c r="E88">
        <v>86558.58</v>
      </c>
      <c r="F88" s="7">
        <v>43887</v>
      </c>
      <c r="G88">
        <v>1</v>
      </c>
      <c r="H88" t="s">
        <v>27</v>
      </c>
      <c r="I88" t="s">
        <v>14</v>
      </c>
    </row>
    <row r="89" spans="1:9" x14ac:dyDescent="0.3">
      <c r="A89" t="s">
        <v>227</v>
      </c>
      <c r="B89" t="s">
        <v>228</v>
      </c>
      <c r="C89" t="s">
        <v>17</v>
      </c>
      <c r="D89" t="s">
        <v>43</v>
      </c>
      <c r="E89">
        <v>84309.95</v>
      </c>
      <c r="F89" s="7">
        <v>44501</v>
      </c>
      <c r="G89">
        <v>1</v>
      </c>
      <c r="H89" t="s">
        <v>13</v>
      </c>
      <c r="I89" t="s">
        <v>14</v>
      </c>
    </row>
    <row r="90" spans="1:9" x14ac:dyDescent="0.3">
      <c r="A90" t="s">
        <v>229</v>
      </c>
      <c r="B90" t="s">
        <v>230</v>
      </c>
      <c r="C90" t="s">
        <v>11</v>
      </c>
      <c r="D90" t="s">
        <v>77</v>
      </c>
      <c r="E90">
        <v>91645.04</v>
      </c>
      <c r="F90" s="7">
        <v>44223</v>
      </c>
      <c r="G90">
        <v>1</v>
      </c>
      <c r="H90" t="s">
        <v>13</v>
      </c>
      <c r="I90" t="s">
        <v>60</v>
      </c>
    </row>
    <row r="91" spans="1:9" x14ac:dyDescent="0.3">
      <c r="A91" t="s">
        <v>231</v>
      </c>
      <c r="B91" t="s">
        <v>232</v>
      </c>
      <c r="C91" t="s">
        <v>17</v>
      </c>
      <c r="D91" t="s">
        <v>25</v>
      </c>
      <c r="E91">
        <v>101187.36</v>
      </c>
      <c r="F91" s="7">
        <v>43258</v>
      </c>
      <c r="G91">
        <v>1</v>
      </c>
      <c r="H91" t="s">
        <v>27</v>
      </c>
      <c r="I91" t="s">
        <v>55</v>
      </c>
    </row>
    <row r="92" spans="1:9" x14ac:dyDescent="0.3">
      <c r="A92" t="s">
        <v>132</v>
      </c>
      <c r="B92" t="s">
        <v>133</v>
      </c>
      <c r="C92" t="s">
        <v>11</v>
      </c>
      <c r="D92" t="s">
        <v>18</v>
      </c>
      <c r="E92">
        <v>80169.42</v>
      </c>
      <c r="F92" s="7">
        <v>44053</v>
      </c>
      <c r="G92">
        <v>1</v>
      </c>
      <c r="H92" t="s">
        <v>13</v>
      </c>
      <c r="I92" t="s">
        <v>60</v>
      </c>
    </row>
    <row r="93" spans="1:9" x14ac:dyDescent="0.3">
      <c r="A93" t="s">
        <v>233</v>
      </c>
      <c r="B93" t="s">
        <v>234</v>
      </c>
      <c r="C93" t="s">
        <v>17</v>
      </c>
      <c r="D93" t="s">
        <v>37</v>
      </c>
      <c r="E93">
        <v>104038.9</v>
      </c>
      <c r="F93" s="7">
        <v>43815</v>
      </c>
      <c r="G93">
        <v>1</v>
      </c>
      <c r="H93" t="s">
        <v>27</v>
      </c>
      <c r="I93" t="s">
        <v>14</v>
      </c>
    </row>
    <row r="94" spans="1:9" x14ac:dyDescent="0.3">
      <c r="A94" t="s">
        <v>235</v>
      </c>
      <c r="B94" t="s">
        <v>236</v>
      </c>
      <c r="C94" t="s">
        <v>17</v>
      </c>
      <c r="D94" t="s">
        <v>43</v>
      </c>
      <c r="E94">
        <v>99683.67</v>
      </c>
      <c r="F94" s="7">
        <v>43500</v>
      </c>
      <c r="G94">
        <v>1</v>
      </c>
      <c r="H94" t="s">
        <v>27</v>
      </c>
      <c r="I94" t="s">
        <v>19</v>
      </c>
    </row>
    <row r="95" spans="1:9" x14ac:dyDescent="0.3">
      <c r="A95" t="s">
        <v>238</v>
      </c>
      <c r="B95" t="s">
        <v>239</v>
      </c>
      <c r="C95" t="s">
        <v>11</v>
      </c>
      <c r="D95" t="s">
        <v>33</v>
      </c>
      <c r="E95">
        <v>47362.62</v>
      </c>
      <c r="F95" s="7">
        <v>43973</v>
      </c>
      <c r="G95">
        <v>1</v>
      </c>
      <c r="H95" t="s">
        <v>59</v>
      </c>
      <c r="I95" t="s">
        <v>14</v>
      </c>
    </row>
    <row r="96" spans="1:9" x14ac:dyDescent="0.3">
      <c r="A96" t="s">
        <v>241</v>
      </c>
      <c r="B96" t="s">
        <v>577</v>
      </c>
      <c r="C96" t="s">
        <v>17</v>
      </c>
      <c r="D96" t="s">
        <v>18</v>
      </c>
      <c r="E96">
        <v>70649.460000000006</v>
      </c>
      <c r="F96" s="7">
        <v>43843</v>
      </c>
      <c r="G96">
        <v>1</v>
      </c>
      <c r="H96" t="s">
        <v>13</v>
      </c>
      <c r="I96" t="s">
        <v>30</v>
      </c>
    </row>
    <row r="97" spans="1:9" x14ac:dyDescent="0.3">
      <c r="A97" t="s">
        <v>243</v>
      </c>
      <c r="B97" t="s">
        <v>578</v>
      </c>
      <c r="C97" t="s">
        <v>17</v>
      </c>
      <c r="D97" t="s">
        <v>99</v>
      </c>
      <c r="E97">
        <v>75733.740000000005</v>
      </c>
      <c r="F97" s="7">
        <v>44382</v>
      </c>
      <c r="G97">
        <v>1</v>
      </c>
      <c r="H97" t="s">
        <v>13</v>
      </c>
      <c r="I97" t="s">
        <v>30</v>
      </c>
    </row>
    <row r="98" spans="1:9" x14ac:dyDescent="0.3">
      <c r="A98" t="s">
        <v>245</v>
      </c>
      <c r="B98" t="s">
        <v>246</v>
      </c>
      <c r="C98" t="s">
        <v>17</v>
      </c>
      <c r="D98" t="s">
        <v>77</v>
      </c>
      <c r="E98">
        <v>71823.56</v>
      </c>
      <c r="F98" s="7">
        <v>43374</v>
      </c>
      <c r="G98">
        <v>0.3</v>
      </c>
      <c r="H98" t="s">
        <v>59</v>
      </c>
      <c r="I98" t="s">
        <v>14</v>
      </c>
    </row>
    <row r="99" spans="1:9" x14ac:dyDescent="0.3">
      <c r="A99" t="s">
        <v>248</v>
      </c>
      <c r="B99" t="s">
        <v>249</v>
      </c>
      <c r="C99" t="s">
        <v>17</v>
      </c>
      <c r="D99" t="s">
        <v>80</v>
      </c>
      <c r="E99">
        <v>41934.71</v>
      </c>
      <c r="F99" s="7">
        <v>43943</v>
      </c>
      <c r="G99">
        <v>1</v>
      </c>
      <c r="H99" t="s">
        <v>13</v>
      </c>
      <c r="I99" t="s">
        <v>14</v>
      </c>
    </row>
    <row r="100" spans="1:9" x14ac:dyDescent="0.3">
      <c r="A100" t="s">
        <v>250</v>
      </c>
      <c r="B100" t="s">
        <v>579</v>
      </c>
      <c r="C100" t="s">
        <v>11</v>
      </c>
      <c r="D100" t="s">
        <v>99</v>
      </c>
      <c r="E100">
        <v>66572.58</v>
      </c>
      <c r="F100" s="7">
        <v>44193</v>
      </c>
      <c r="G100">
        <v>1</v>
      </c>
      <c r="H100" t="s">
        <v>13</v>
      </c>
      <c r="I100" t="s">
        <v>66</v>
      </c>
    </row>
    <row r="101" spans="1:9" x14ac:dyDescent="0.3">
      <c r="A101" t="s">
        <v>252</v>
      </c>
      <c r="B101" t="s">
        <v>580</v>
      </c>
      <c r="C101" t="s">
        <v>11</v>
      </c>
      <c r="D101" t="s">
        <v>40</v>
      </c>
      <c r="E101">
        <v>76932.600000000006</v>
      </c>
      <c r="F101" s="7">
        <v>43493</v>
      </c>
      <c r="G101">
        <v>1</v>
      </c>
      <c r="H101" t="s">
        <v>13</v>
      </c>
      <c r="I101" t="s">
        <v>30</v>
      </c>
    </row>
    <row r="102" spans="1:9" x14ac:dyDescent="0.3">
      <c r="A102" t="s">
        <v>254</v>
      </c>
      <c r="B102" t="s">
        <v>255</v>
      </c>
      <c r="C102" t="s">
        <v>11</v>
      </c>
      <c r="D102" t="s">
        <v>37</v>
      </c>
      <c r="E102">
        <v>59258.19</v>
      </c>
      <c r="F102" s="7">
        <v>43452</v>
      </c>
      <c r="G102">
        <v>0.8</v>
      </c>
      <c r="H102" t="s">
        <v>13</v>
      </c>
      <c r="I102" t="s">
        <v>19</v>
      </c>
    </row>
    <row r="103" spans="1:9" x14ac:dyDescent="0.3">
      <c r="A103" t="s">
        <v>256</v>
      </c>
      <c r="B103" t="s">
        <v>257</v>
      </c>
      <c r="C103" t="s">
        <v>11</v>
      </c>
      <c r="D103" t="s">
        <v>25</v>
      </c>
      <c r="E103">
        <v>112778.28</v>
      </c>
      <c r="F103" s="7">
        <v>43250</v>
      </c>
      <c r="G103">
        <v>1</v>
      </c>
      <c r="H103" t="s">
        <v>27</v>
      </c>
      <c r="I103" t="s">
        <v>14</v>
      </c>
    </row>
    <row r="104" spans="1:9" x14ac:dyDescent="0.3">
      <c r="A104" t="s">
        <v>258</v>
      </c>
      <c r="B104" t="s">
        <v>259</v>
      </c>
      <c r="C104" t="s">
        <v>17</v>
      </c>
      <c r="D104" t="s">
        <v>77</v>
      </c>
      <c r="E104">
        <v>44845.33</v>
      </c>
      <c r="F104" s="7">
        <v>43277</v>
      </c>
      <c r="G104">
        <v>1</v>
      </c>
      <c r="H104" t="s">
        <v>13</v>
      </c>
      <c r="I104" t="s">
        <v>19</v>
      </c>
    </row>
    <row r="105" spans="1:9" x14ac:dyDescent="0.3">
      <c r="A105" t="s">
        <v>261</v>
      </c>
      <c r="B105" t="s">
        <v>581</v>
      </c>
      <c r="C105" t="s">
        <v>11</v>
      </c>
      <c r="D105" t="s">
        <v>93</v>
      </c>
      <c r="E105">
        <v>115191.38</v>
      </c>
      <c r="F105" s="7">
        <v>44004</v>
      </c>
      <c r="G105">
        <v>1</v>
      </c>
      <c r="H105" t="s">
        <v>13</v>
      </c>
      <c r="I105" t="s">
        <v>30</v>
      </c>
    </row>
    <row r="106" spans="1:9" x14ac:dyDescent="0.3">
      <c r="A106" t="s">
        <v>262</v>
      </c>
      <c r="B106" t="s">
        <v>263</v>
      </c>
      <c r="C106" t="s">
        <v>17</v>
      </c>
      <c r="D106" t="s">
        <v>99</v>
      </c>
      <c r="E106">
        <v>111049.84</v>
      </c>
      <c r="F106" s="7">
        <v>44393</v>
      </c>
      <c r="G106">
        <v>1</v>
      </c>
      <c r="H106" t="s">
        <v>13</v>
      </c>
      <c r="I106" t="s">
        <v>35</v>
      </c>
    </row>
    <row r="107" spans="1:9" x14ac:dyDescent="0.3">
      <c r="A107" t="s">
        <v>264</v>
      </c>
      <c r="B107" t="s">
        <v>265</v>
      </c>
      <c r="C107" t="s">
        <v>17</v>
      </c>
      <c r="D107" t="s">
        <v>37</v>
      </c>
      <c r="E107">
        <v>75974.990000000005</v>
      </c>
      <c r="F107" s="7">
        <v>44172</v>
      </c>
      <c r="G107">
        <v>1</v>
      </c>
      <c r="H107" t="s">
        <v>13</v>
      </c>
      <c r="I107" t="s">
        <v>14</v>
      </c>
    </row>
    <row r="108" spans="1:9" x14ac:dyDescent="0.3">
      <c r="A108" t="s">
        <v>267</v>
      </c>
      <c r="B108" t="s">
        <v>268</v>
      </c>
      <c r="C108" t="s">
        <v>17</v>
      </c>
      <c r="D108" t="s">
        <v>22</v>
      </c>
      <c r="E108">
        <v>42161.77</v>
      </c>
      <c r="F108" s="7">
        <v>43494</v>
      </c>
      <c r="G108">
        <v>1</v>
      </c>
      <c r="H108" t="s">
        <v>13</v>
      </c>
      <c r="I108" t="s">
        <v>60</v>
      </c>
    </row>
    <row r="109" spans="1:9" x14ac:dyDescent="0.3">
      <c r="A109" t="s">
        <v>270</v>
      </c>
      <c r="B109" t="s">
        <v>582</v>
      </c>
      <c r="C109" t="s">
        <v>11</v>
      </c>
      <c r="D109" t="s">
        <v>18</v>
      </c>
      <c r="E109">
        <v>71371.37</v>
      </c>
      <c r="F109" s="7">
        <v>43392</v>
      </c>
      <c r="G109">
        <v>1</v>
      </c>
      <c r="H109" t="s">
        <v>13</v>
      </c>
      <c r="I109" t="s">
        <v>30</v>
      </c>
    </row>
    <row r="110" spans="1:9" x14ac:dyDescent="0.3">
      <c r="A110" t="s">
        <v>271</v>
      </c>
      <c r="B110" t="s">
        <v>272</v>
      </c>
      <c r="C110" t="s">
        <v>11</v>
      </c>
      <c r="D110" t="s">
        <v>77</v>
      </c>
      <c r="E110">
        <v>49915.14</v>
      </c>
      <c r="F110" s="7">
        <v>43550</v>
      </c>
      <c r="G110">
        <v>1</v>
      </c>
      <c r="H110" t="s">
        <v>13</v>
      </c>
      <c r="I110" t="s">
        <v>14</v>
      </c>
    </row>
    <row r="111" spans="1:9" x14ac:dyDescent="0.3">
      <c r="A111" t="s">
        <v>195</v>
      </c>
      <c r="B111" t="s">
        <v>196</v>
      </c>
      <c r="C111" t="s">
        <v>17</v>
      </c>
      <c r="D111" t="s">
        <v>99</v>
      </c>
      <c r="E111">
        <v>0</v>
      </c>
      <c r="F111" s="7">
        <v>44011</v>
      </c>
      <c r="G111">
        <v>1</v>
      </c>
      <c r="H111" t="s">
        <v>13</v>
      </c>
      <c r="I111" t="s">
        <v>35</v>
      </c>
    </row>
    <row r="112" spans="1:9" x14ac:dyDescent="0.3">
      <c r="A112" t="s">
        <v>274</v>
      </c>
      <c r="B112" t="s">
        <v>583</v>
      </c>
      <c r="C112" t="s">
        <v>11</v>
      </c>
      <c r="D112" t="s">
        <v>37</v>
      </c>
      <c r="E112">
        <v>37062.1</v>
      </c>
      <c r="F112" s="7">
        <v>44357</v>
      </c>
      <c r="G112">
        <v>1</v>
      </c>
      <c r="H112" t="s">
        <v>59</v>
      </c>
      <c r="I112" t="s">
        <v>66</v>
      </c>
    </row>
    <row r="113" spans="1:9" x14ac:dyDescent="0.3">
      <c r="A113" t="s">
        <v>275</v>
      </c>
      <c r="B113" t="s">
        <v>276</v>
      </c>
      <c r="C113" t="s">
        <v>17</v>
      </c>
      <c r="D113" t="s">
        <v>43</v>
      </c>
      <c r="E113">
        <v>0</v>
      </c>
      <c r="F113" s="7">
        <v>43504</v>
      </c>
      <c r="G113">
        <v>1</v>
      </c>
      <c r="H113" t="s">
        <v>13</v>
      </c>
      <c r="I113" t="s">
        <v>14</v>
      </c>
    </row>
    <row r="114" spans="1:9" x14ac:dyDescent="0.3">
      <c r="A114" t="s">
        <v>277</v>
      </c>
      <c r="B114" t="s">
        <v>278</v>
      </c>
      <c r="C114" t="s">
        <v>11</v>
      </c>
      <c r="D114" t="s">
        <v>77</v>
      </c>
      <c r="F114" s="7">
        <v>44077</v>
      </c>
      <c r="G114">
        <v>1</v>
      </c>
      <c r="H114" t="s">
        <v>27</v>
      </c>
      <c r="I114" t="s">
        <v>55</v>
      </c>
    </row>
    <row r="115" spans="1:9" x14ac:dyDescent="0.3">
      <c r="A115" t="s">
        <v>100</v>
      </c>
      <c r="B115" t="s">
        <v>101</v>
      </c>
      <c r="C115" t="s">
        <v>11</v>
      </c>
      <c r="D115" t="s">
        <v>18</v>
      </c>
      <c r="E115">
        <v>90884.32</v>
      </c>
      <c r="F115" s="7">
        <v>43826</v>
      </c>
      <c r="G115">
        <v>1</v>
      </c>
      <c r="H115" t="s">
        <v>13</v>
      </c>
      <c r="I115" t="s">
        <v>55</v>
      </c>
    </row>
    <row r="116" spans="1:9" x14ac:dyDescent="0.3">
      <c r="A116" t="s">
        <v>279</v>
      </c>
      <c r="B116" t="s">
        <v>280</v>
      </c>
      <c r="C116" t="s">
        <v>11</v>
      </c>
      <c r="D116" t="s">
        <v>99</v>
      </c>
      <c r="E116">
        <v>89838.77</v>
      </c>
      <c r="F116" s="7">
        <v>43602</v>
      </c>
      <c r="G116">
        <v>1</v>
      </c>
      <c r="H116" t="s">
        <v>13</v>
      </c>
      <c r="I116" t="s">
        <v>14</v>
      </c>
    </row>
    <row r="117" spans="1:9" x14ac:dyDescent="0.3">
      <c r="A117" t="s">
        <v>281</v>
      </c>
      <c r="B117" t="s">
        <v>584</v>
      </c>
      <c r="C117" t="s">
        <v>11</v>
      </c>
      <c r="D117" t="s">
        <v>99</v>
      </c>
      <c r="E117">
        <v>0</v>
      </c>
      <c r="F117" s="7">
        <v>44462</v>
      </c>
      <c r="G117">
        <v>1</v>
      </c>
      <c r="H117" t="s">
        <v>13</v>
      </c>
      <c r="I117" t="s">
        <v>66</v>
      </c>
    </row>
    <row r="118" spans="1:9" x14ac:dyDescent="0.3">
      <c r="A118" t="s">
        <v>283</v>
      </c>
      <c r="B118" t="s">
        <v>284</v>
      </c>
      <c r="C118" t="s">
        <v>17</v>
      </c>
      <c r="D118" t="s">
        <v>77</v>
      </c>
      <c r="E118">
        <v>68887.839999999997</v>
      </c>
      <c r="F118" s="7">
        <v>43297</v>
      </c>
      <c r="G118">
        <v>1</v>
      </c>
      <c r="H118" t="s">
        <v>13</v>
      </c>
      <c r="I118" t="s">
        <v>14</v>
      </c>
    </row>
    <row r="119" spans="1:9" x14ac:dyDescent="0.3">
      <c r="A119" t="s">
        <v>205</v>
      </c>
      <c r="B119" t="s">
        <v>585</v>
      </c>
      <c r="C119" t="s">
        <v>11</v>
      </c>
      <c r="D119" t="s">
        <v>93</v>
      </c>
      <c r="E119">
        <v>106775.14</v>
      </c>
      <c r="F119" s="7">
        <v>43563</v>
      </c>
      <c r="G119">
        <v>1</v>
      </c>
      <c r="H119" t="s">
        <v>27</v>
      </c>
      <c r="I119" t="s">
        <v>30</v>
      </c>
    </row>
    <row r="120" spans="1:9" x14ac:dyDescent="0.3">
      <c r="A120" t="s">
        <v>285</v>
      </c>
      <c r="B120" t="s">
        <v>586</v>
      </c>
      <c r="C120" t="s">
        <v>17</v>
      </c>
      <c r="D120" t="s">
        <v>22</v>
      </c>
      <c r="E120">
        <v>89690.38</v>
      </c>
      <c r="F120" s="7">
        <v>43213</v>
      </c>
      <c r="G120">
        <v>1</v>
      </c>
      <c r="H120" t="s">
        <v>13</v>
      </c>
      <c r="I120" t="s">
        <v>30</v>
      </c>
    </row>
    <row r="121" spans="1:9" x14ac:dyDescent="0.3">
      <c r="A121" t="s">
        <v>287</v>
      </c>
      <c r="B121" t="s">
        <v>288</v>
      </c>
      <c r="C121" t="s">
        <v>11</v>
      </c>
      <c r="D121" t="s">
        <v>93</v>
      </c>
      <c r="E121">
        <v>111229.47</v>
      </c>
      <c r="F121" s="7">
        <v>43402</v>
      </c>
      <c r="G121">
        <v>1</v>
      </c>
      <c r="H121" t="s">
        <v>13</v>
      </c>
      <c r="I121" t="s">
        <v>14</v>
      </c>
    </row>
    <row r="122" spans="1:9" x14ac:dyDescent="0.3">
      <c r="A122" t="s">
        <v>290</v>
      </c>
      <c r="B122" t="s">
        <v>291</v>
      </c>
      <c r="C122" t="s">
        <v>11</v>
      </c>
      <c r="D122" t="s">
        <v>77</v>
      </c>
      <c r="E122">
        <v>67633.850000000006</v>
      </c>
      <c r="F122" s="7">
        <v>43340</v>
      </c>
      <c r="G122">
        <v>1</v>
      </c>
      <c r="H122" t="s">
        <v>13</v>
      </c>
      <c r="I122" t="s">
        <v>55</v>
      </c>
    </row>
    <row r="123" spans="1:9" x14ac:dyDescent="0.3">
      <c r="A123" t="s">
        <v>292</v>
      </c>
      <c r="B123" t="s">
        <v>293</v>
      </c>
      <c r="C123" t="s">
        <v>11</v>
      </c>
      <c r="D123" t="s">
        <v>22</v>
      </c>
      <c r="E123">
        <v>111815.49</v>
      </c>
      <c r="F123" s="7">
        <v>43895</v>
      </c>
      <c r="G123">
        <v>0.7</v>
      </c>
      <c r="H123" t="s">
        <v>59</v>
      </c>
      <c r="I123" t="s">
        <v>14</v>
      </c>
    </row>
    <row r="124" spans="1:9" x14ac:dyDescent="0.3">
      <c r="A124" t="s">
        <v>294</v>
      </c>
      <c r="B124" t="s">
        <v>587</v>
      </c>
      <c r="C124" t="s">
        <v>11</v>
      </c>
      <c r="D124" t="s">
        <v>18</v>
      </c>
      <c r="E124">
        <v>39784.239999999998</v>
      </c>
      <c r="F124" s="7">
        <v>43465</v>
      </c>
      <c r="G124">
        <v>1</v>
      </c>
      <c r="H124" t="s">
        <v>27</v>
      </c>
      <c r="I124" t="s">
        <v>66</v>
      </c>
    </row>
    <row r="125" spans="1:9" x14ac:dyDescent="0.3">
      <c r="A125" t="s">
        <v>296</v>
      </c>
      <c r="B125" t="s">
        <v>588</v>
      </c>
      <c r="C125" t="s">
        <v>17</v>
      </c>
      <c r="D125" t="s">
        <v>93</v>
      </c>
      <c r="E125">
        <v>89829.33</v>
      </c>
      <c r="F125" s="7">
        <v>43794</v>
      </c>
      <c r="G125">
        <v>1</v>
      </c>
      <c r="H125" t="s">
        <v>59</v>
      </c>
      <c r="I125" t="s">
        <v>66</v>
      </c>
    </row>
    <row r="126" spans="1:9" x14ac:dyDescent="0.3">
      <c r="A126" t="s">
        <v>292</v>
      </c>
      <c r="B126" t="s">
        <v>293</v>
      </c>
      <c r="C126" t="s">
        <v>11</v>
      </c>
      <c r="D126" t="s">
        <v>22</v>
      </c>
      <c r="E126">
        <v>111815.49</v>
      </c>
      <c r="F126" s="7">
        <v>43895</v>
      </c>
      <c r="G126">
        <v>0.7</v>
      </c>
      <c r="H126" t="s">
        <v>59</v>
      </c>
      <c r="I126" t="s">
        <v>14</v>
      </c>
    </row>
    <row r="127" spans="1:9" x14ac:dyDescent="0.3">
      <c r="A127" t="s">
        <v>297</v>
      </c>
      <c r="B127" t="s">
        <v>298</v>
      </c>
      <c r="C127" t="s">
        <v>11</v>
      </c>
      <c r="D127" t="s">
        <v>99</v>
      </c>
      <c r="E127">
        <v>72843.23</v>
      </c>
      <c r="F127" s="7">
        <v>43280</v>
      </c>
      <c r="G127">
        <v>1</v>
      </c>
      <c r="H127" t="s">
        <v>27</v>
      </c>
      <c r="I127" t="s">
        <v>35</v>
      </c>
    </row>
    <row r="128" spans="1:9" x14ac:dyDescent="0.3">
      <c r="A128" t="s">
        <v>245</v>
      </c>
      <c r="B128" t="s">
        <v>246</v>
      </c>
      <c r="C128" t="s">
        <v>17</v>
      </c>
      <c r="D128" t="s">
        <v>77</v>
      </c>
      <c r="E128">
        <v>71823.56</v>
      </c>
      <c r="F128" s="7">
        <v>43374</v>
      </c>
      <c r="G128">
        <v>0.3</v>
      </c>
      <c r="H128" t="s">
        <v>59</v>
      </c>
      <c r="I128" t="s">
        <v>14</v>
      </c>
    </row>
    <row r="129" spans="1:9" x14ac:dyDescent="0.3">
      <c r="A129" t="s">
        <v>299</v>
      </c>
      <c r="B129" t="s">
        <v>300</v>
      </c>
      <c r="C129" t="s">
        <v>11</v>
      </c>
      <c r="D129" t="s">
        <v>18</v>
      </c>
      <c r="E129">
        <v>88511.17</v>
      </c>
      <c r="F129" s="7">
        <v>43950</v>
      </c>
      <c r="G129">
        <v>1</v>
      </c>
      <c r="H129" t="s">
        <v>13</v>
      </c>
      <c r="I129" t="s">
        <v>55</v>
      </c>
    </row>
    <row r="130" spans="1:9" x14ac:dyDescent="0.3">
      <c r="A130" t="s">
        <v>302</v>
      </c>
      <c r="B130" t="s">
        <v>303</v>
      </c>
      <c r="C130" t="s">
        <v>11</v>
      </c>
      <c r="D130" t="s">
        <v>77</v>
      </c>
      <c r="E130">
        <v>36547.58</v>
      </c>
      <c r="F130" s="7">
        <v>43416</v>
      </c>
      <c r="G130">
        <v>1</v>
      </c>
      <c r="H130" t="s">
        <v>13</v>
      </c>
      <c r="I130" t="s">
        <v>14</v>
      </c>
    </row>
    <row r="131" spans="1:9" x14ac:dyDescent="0.3">
      <c r="A131" t="s">
        <v>304</v>
      </c>
      <c r="B131" t="s">
        <v>589</v>
      </c>
      <c r="C131" t="s">
        <v>11</v>
      </c>
      <c r="D131" t="s">
        <v>77</v>
      </c>
      <c r="E131">
        <v>95954.02</v>
      </c>
      <c r="F131" s="7">
        <v>43567</v>
      </c>
      <c r="G131">
        <v>0.3</v>
      </c>
      <c r="H131" t="s">
        <v>13</v>
      </c>
      <c r="I131" t="s">
        <v>30</v>
      </c>
    </row>
    <row r="132" spans="1:9" x14ac:dyDescent="0.3">
      <c r="A132" t="s">
        <v>305</v>
      </c>
      <c r="B132" t="s">
        <v>590</v>
      </c>
      <c r="C132" t="s">
        <v>17</v>
      </c>
      <c r="D132" t="s">
        <v>25</v>
      </c>
      <c r="E132">
        <v>95677.9</v>
      </c>
      <c r="F132" s="7">
        <v>44396</v>
      </c>
      <c r="G132">
        <v>0.3</v>
      </c>
      <c r="H132" t="s">
        <v>13</v>
      </c>
      <c r="I132" t="s">
        <v>66</v>
      </c>
    </row>
    <row r="133" spans="1:9" x14ac:dyDescent="0.3">
      <c r="A133" t="s">
        <v>307</v>
      </c>
      <c r="B133" t="s">
        <v>591</v>
      </c>
      <c r="C133" t="s">
        <v>17</v>
      </c>
      <c r="D133" t="s">
        <v>77</v>
      </c>
      <c r="E133">
        <v>76303.820000000007</v>
      </c>
      <c r="F133" s="7">
        <v>43458</v>
      </c>
      <c r="G133">
        <v>1</v>
      </c>
      <c r="H133" t="s">
        <v>27</v>
      </c>
      <c r="I133" t="s">
        <v>30</v>
      </c>
    </row>
    <row r="134" spans="1:9" x14ac:dyDescent="0.3">
      <c r="A134" t="s">
        <v>308</v>
      </c>
      <c r="B134" t="s">
        <v>309</v>
      </c>
      <c r="C134" t="s">
        <v>17</v>
      </c>
      <c r="D134" t="s">
        <v>43</v>
      </c>
      <c r="F134" s="7">
        <v>43538</v>
      </c>
      <c r="G134">
        <v>1</v>
      </c>
      <c r="H134" t="s">
        <v>13</v>
      </c>
      <c r="I134" t="s">
        <v>60</v>
      </c>
    </row>
    <row r="135" spans="1:9" x14ac:dyDescent="0.3">
      <c r="A135" t="s">
        <v>310</v>
      </c>
      <c r="B135" t="s">
        <v>311</v>
      </c>
      <c r="C135" t="s">
        <v>11</v>
      </c>
      <c r="D135" t="s">
        <v>99</v>
      </c>
      <c r="E135">
        <v>99460.78</v>
      </c>
      <c r="F135" s="7">
        <v>43956</v>
      </c>
      <c r="G135">
        <v>1</v>
      </c>
      <c r="H135" t="s">
        <v>13</v>
      </c>
      <c r="I135" t="s">
        <v>14</v>
      </c>
    </row>
    <row r="136" spans="1:9" x14ac:dyDescent="0.3">
      <c r="A136" t="s">
        <v>313</v>
      </c>
      <c r="B136" t="s">
        <v>314</v>
      </c>
      <c r="C136" t="s">
        <v>17</v>
      </c>
      <c r="D136" t="s">
        <v>37</v>
      </c>
      <c r="E136">
        <v>88034.67</v>
      </c>
      <c r="F136" s="7">
        <v>43669</v>
      </c>
      <c r="G136">
        <v>1</v>
      </c>
      <c r="H136" t="s">
        <v>13</v>
      </c>
      <c r="I136" t="s">
        <v>14</v>
      </c>
    </row>
    <row r="137" spans="1:9" x14ac:dyDescent="0.3">
      <c r="A137" t="s">
        <v>315</v>
      </c>
      <c r="B137" t="s">
        <v>316</v>
      </c>
      <c r="C137" t="s">
        <v>17</v>
      </c>
      <c r="D137" t="s">
        <v>43</v>
      </c>
      <c r="E137">
        <v>44447.26</v>
      </c>
      <c r="F137" s="7">
        <v>43846</v>
      </c>
      <c r="G137">
        <v>0.4</v>
      </c>
      <c r="H137" t="s">
        <v>13</v>
      </c>
      <c r="I137" t="s">
        <v>19</v>
      </c>
    </row>
    <row r="138" spans="1:9" x14ac:dyDescent="0.3">
      <c r="A138" t="s">
        <v>317</v>
      </c>
      <c r="B138" t="s">
        <v>592</v>
      </c>
      <c r="C138" t="s">
        <v>11</v>
      </c>
      <c r="D138" t="s">
        <v>93</v>
      </c>
      <c r="E138">
        <v>40445.29</v>
      </c>
      <c r="F138" s="7">
        <v>44393</v>
      </c>
      <c r="G138">
        <v>1</v>
      </c>
      <c r="H138" t="s">
        <v>13</v>
      </c>
      <c r="I138" t="s">
        <v>66</v>
      </c>
    </row>
    <row r="139" spans="1:9" x14ac:dyDescent="0.3">
      <c r="A139" t="s">
        <v>318</v>
      </c>
      <c r="B139" t="s">
        <v>593</v>
      </c>
      <c r="C139" t="s">
        <v>17</v>
      </c>
      <c r="D139" t="s">
        <v>43</v>
      </c>
      <c r="E139">
        <v>92336.08</v>
      </c>
      <c r="F139" s="7">
        <v>44431</v>
      </c>
      <c r="G139">
        <v>1</v>
      </c>
      <c r="H139" t="s">
        <v>13</v>
      </c>
      <c r="I139" t="s">
        <v>30</v>
      </c>
    </row>
    <row r="140" spans="1:9" x14ac:dyDescent="0.3">
      <c r="A140" t="s">
        <v>319</v>
      </c>
      <c r="B140" t="s">
        <v>320</v>
      </c>
      <c r="C140" t="s">
        <v>17</v>
      </c>
      <c r="D140" t="s">
        <v>40</v>
      </c>
      <c r="E140">
        <v>68008.55</v>
      </c>
      <c r="F140" s="7">
        <v>44062</v>
      </c>
      <c r="G140">
        <v>1</v>
      </c>
      <c r="H140" t="s">
        <v>13</v>
      </c>
      <c r="I140" t="s">
        <v>60</v>
      </c>
    </row>
    <row r="141" spans="1:9" x14ac:dyDescent="0.3">
      <c r="A141" t="s">
        <v>321</v>
      </c>
      <c r="B141" t="s">
        <v>594</v>
      </c>
      <c r="C141" t="s">
        <v>11</v>
      </c>
      <c r="D141" t="s">
        <v>93</v>
      </c>
      <c r="E141">
        <v>74924.649999999994</v>
      </c>
      <c r="F141" s="7">
        <v>44239</v>
      </c>
      <c r="G141">
        <v>1</v>
      </c>
      <c r="H141" t="s">
        <v>13</v>
      </c>
      <c r="I141" t="s">
        <v>30</v>
      </c>
    </row>
    <row r="142" spans="1:9" x14ac:dyDescent="0.3">
      <c r="A142" t="s">
        <v>163</v>
      </c>
      <c r="B142" t="s">
        <v>164</v>
      </c>
      <c r="C142" t="s">
        <v>11</v>
      </c>
      <c r="D142" t="s">
        <v>37</v>
      </c>
      <c r="F142" s="7">
        <v>43724</v>
      </c>
      <c r="G142">
        <v>0.2</v>
      </c>
      <c r="H142" t="s">
        <v>13</v>
      </c>
      <c r="I142" t="s">
        <v>60</v>
      </c>
    </row>
    <row r="143" spans="1:9" x14ac:dyDescent="0.3">
      <c r="A143" t="s">
        <v>323</v>
      </c>
      <c r="B143" t="s">
        <v>324</v>
      </c>
      <c r="C143" t="s">
        <v>11</v>
      </c>
      <c r="D143" t="s">
        <v>22</v>
      </c>
      <c r="E143">
        <v>88689.09</v>
      </c>
      <c r="F143" s="7">
        <v>43740</v>
      </c>
      <c r="G143">
        <v>1</v>
      </c>
      <c r="H143" t="s">
        <v>13</v>
      </c>
      <c r="I143" t="s">
        <v>19</v>
      </c>
    </row>
    <row r="144" spans="1:9" x14ac:dyDescent="0.3">
      <c r="A144" t="s">
        <v>326</v>
      </c>
      <c r="B144" t="s">
        <v>595</v>
      </c>
      <c r="C144" t="s">
        <v>17</v>
      </c>
      <c r="D144" t="s">
        <v>43</v>
      </c>
      <c r="E144">
        <v>96555.53</v>
      </c>
      <c r="F144" s="7">
        <v>43489</v>
      </c>
      <c r="G144">
        <v>0.2</v>
      </c>
      <c r="H144" t="s">
        <v>59</v>
      </c>
      <c r="I144" t="s">
        <v>30</v>
      </c>
    </row>
    <row r="145" spans="1:9" x14ac:dyDescent="0.3">
      <c r="A145" t="s">
        <v>327</v>
      </c>
      <c r="B145" t="s">
        <v>596</v>
      </c>
      <c r="C145" t="s">
        <v>17</v>
      </c>
      <c r="D145" t="s">
        <v>37</v>
      </c>
      <c r="E145">
        <v>71924.850000000006</v>
      </c>
      <c r="F145" s="7">
        <v>43822</v>
      </c>
      <c r="G145">
        <v>1</v>
      </c>
      <c r="H145" t="s">
        <v>13</v>
      </c>
      <c r="I145" t="s">
        <v>66</v>
      </c>
    </row>
    <row r="146" spans="1:9" x14ac:dyDescent="0.3">
      <c r="A146" t="s">
        <v>328</v>
      </c>
      <c r="B146" t="s">
        <v>329</v>
      </c>
      <c r="C146" t="s">
        <v>11</v>
      </c>
      <c r="D146" t="s">
        <v>93</v>
      </c>
      <c r="E146">
        <v>31241.24</v>
      </c>
      <c r="F146" s="7">
        <v>43725</v>
      </c>
      <c r="G146">
        <v>1</v>
      </c>
      <c r="H146" t="s">
        <v>13</v>
      </c>
      <c r="I146" t="s">
        <v>14</v>
      </c>
    </row>
    <row r="147" spans="1:9" x14ac:dyDescent="0.3">
      <c r="A147" t="s">
        <v>330</v>
      </c>
      <c r="B147" t="s">
        <v>331</v>
      </c>
      <c r="C147" t="s">
        <v>11</v>
      </c>
      <c r="D147" t="s">
        <v>18</v>
      </c>
      <c r="E147">
        <v>110042.37</v>
      </c>
      <c r="F147" s="7">
        <v>43914</v>
      </c>
      <c r="G147">
        <v>1</v>
      </c>
      <c r="H147" t="s">
        <v>13</v>
      </c>
      <c r="I147" t="s">
        <v>55</v>
      </c>
    </row>
    <row r="148" spans="1:9" x14ac:dyDescent="0.3">
      <c r="A148" t="s">
        <v>64</v>
      </c>
      <c r="B148" t="s">
        <v>597</v>
      </c>
      <c r="C148" t="s">
        <v>17</v>
      </c>
      <c r="D148" t="s">
        <v>25</v>
      </c>
      <c r="E148">
        <v>37902.35</v>
      </c>
      <c r="F148" s="7">
        <v>43823</v>
      </c>
      <c r="G148">
        <v>1</v>
      </c>
      <c r="H148" t="s">
        <v>13</v>
      </c>
      <c r="I148" t="s">
        <v>66</v>
      </c>
    </row>
    <row r="149" spans="1:9" x14ac:dyDescent="0.3">
      <c r="A149" t="s">
        <v>332</v>
      </c>
      <c r="B149" t="s">
        <v>598</v>
      </c>
      <c r="C149" t="s">
        <v>17</v>
      </c>
      <c r="D149" t="s">
        <v>18</v>
      </c>
      <c r="E149">
        <v>33031.26</v>
      </c>
      <c r="F149" s="7">
        <v>43468</v>
      </c>
      <c r="G149">
        <v>0.4</v>
      </c>
      <c r="H149" t="s">
        <v>13</v>
      </c>
      <c r="I149" t="s">
        <v>30</v>
      </c>
    </row>
    <row r="150" spans="1:9" x14ac:dyDescent="0.3">
      <c r="A150" t="s">
        <v>334</v>
      </c>
      <c r="B150" t="s">
        <v>335</v>
      </c>
      <c r="C150" t="s">
        <v>17</v>
      </c>
      <c r="D150" t="s">
        <v>99</v>
      </c>
      <c r="E150">
        <v>32496.880000000001</v>
      </c>
      <c r="F150" s="7">
        <v>43234</v>
      </c>
      <c r="G150">
        <v>1</v>
      </c>
      <c r="H150" t="s">
        <v>59</v>
      </c>
      <c r="I150" t="s">
        <v>14</v>
      </c>
    </row>
    <row r="151" spans="1:9" x14ac:dyDescent="0.3">
      <c r="A151" t="s">
        <v>336</v>
      </c>
      <c r="B151" t="s">
        <v>337</v>
      </c>
      <c r="C151" t="s">
        <v>17</v>
      </c>
      <c r="D151" t="s">
        <v>22</v>
      </c>
      <c r="E151">
        <v>81897.789999999994</v>
      </c>
      <c r="F151" s="7">
        <v>43146</v>
      </c>
      <c r="G151">
        <v>1</v>
      </c>
      <c r="H151" t="s">
        <v>13</v>
      </c>
      <c r="I151" t="s">
        <v>60</v>
      </c>
    </row>
    <row r="152" spans="1:9" x14ac:dyDescent="0.3">
      <c r="A152" t="s">
        <v>338</v>
      </c>
      <c r="B152" t="s">
        <v>339</v>
      </c>
      <c r="C152" t="s">
        <v>11</v>
      </c>
      <c r="D152" t="s">
        <v>33</v>
      </c>
      <c r="E152">
        <v>108872.77</v>
      </c>
      <c r="F152" s="7">
        <v>43521</v>
      </c>
      <c r="G152">
        <v>1</v>
      </c>
      <c r="H152" t="s">
        <v>13</v>
      </c>
      <c r="I152" t="s">
        <v>14</v>
      </c>
    </row>
    <row r="153" spans="1:9" x14ac:dyDescent="0.3">
      <c r="A153" t="s">
        <v>340</v>
      </c>
      <c r="B153" t="s">
        <v>341</v>
      </c>
      <c r="C153" t="s">
        <v>11</v>
      </c>
      <c r="D153" t="s">
        <v>40</v>
      </c>
      <c r="E153">
        <v>89605.13</v>
      </c>
      <c r="F153" s="7">
        <v>43258</v>
      </c>
      <c r="G153">
        <v>1</v>
      </c>
      <c r="H153" t="s">
        <v>13</v>
      </c>
      <c r="I153" t="s">
        <v>19</v>
      </c>
    </row>
    <row r="154" spans="1:9" x14ac:dyDescent="0.3">
      <c r="A154" t="s">
        <v>343</v>
      </c>
      <c r="B154" t="s">
        <v>344</v>
      </c>
      <c r="D154" t="s">
        <v>99</v>
      </c>
      <c r="E154">
        <v>63447.07</v>
      </c>
      <c r="F154" s="7">
        <v>44148</v>
      </c>
      <c r="G154">
        <v>1</v>
      </c>
      <c r="H154" t="s">
        <v>59</v>
      </c>
      <c r="I154" t="s">
        <v>35</v>
      </c>
    </row>
    <row r="155" spans="1:9" x14ac:dyDescent="0.3">
      <c r="A155" t="s">
        <v>346</v>
      </c>
      <c r="B155" t="s">
        <v>347</v>
      </c>
      <c r="C155" t="s">
        <v>17</v>
      </c>
      <c r="D155" t="s">
        <v>93</v>
      </c>
      <c r="E155">
        <v>106665.67</v>
      </c>
      <c r="F155" s="7">
        <v>43311</v>
      </c>
      <c r="G155">
        <v>1</v>
      </c>
      <c r="H155" t="s">
        <v>59</v>
      </c>
      <c r="I155" t="s">
        <v>55</v>
      </c>
    </row>
    <row r="156" spans="1:9" x14ac:dyDescent="0.3">
      <c r="A156" t="s">
        <v>348</v>
      </c>
      <c r="B156" t="s">
        <v>349</v>
      </c>
      <c r="C156" t="s">
        <v>11</v>
      </c>
      <c r="D156" t="s">
        <v>22</v>
      </c>
      <c r="E156">
        <v>100424.23</v>
      </c>
      <c r="F156" s="7">
        <v>43801</v>
      </c>
      <c r="G156">
        <v>1</v>
      </c>
      <c r="H156" t="s">
        <v>13</v>
      </c>
      <c r="I156" t="s">
        <v>60</v>
      </c>
    </row>
    <row r="157" spans="1:9" x14ac:dyDescent="0.3">
      <c r="A157" t="s">
        <v>350</v>
      </c>
      <c r="B157" t="s">
        <v>599</v>
      </c>
      <c r="C157" t="s">
        <v>11</v>
      </c>
      <c r="D157" t="s">
        <v>22</v>
      </c>
      <c r="E157">
        <v>47646.95</v>
      </c>
      <c r="F157" s="7">
        <v>43791</v>
      </c>
      <c r="G157">
        <v>0.3</v>
      </c>
      <c r="H157" t="s">
        <v>27</v>
      </c>
      <c r="I157" t="s">
        <v>66</v>
      </c>
    </row>
    <row r="158" spans="1:9" x14ac:dyDescent="0.3">
      <c r="A158" t="s">
        <v>351</v>
      </c>
      <c r="B158" t="s">
        <v>600</v>
      </c>
      <c r="C158" t="s">
        <v>11</v>
      </c>
      <c r="D158" t="s">
        <v>99</v>
      </c>
      <c r="E158">
        <v>28481.16</v>
      </c>
      <c r="F158" s="7">
        <v>43916</v>
      </c>
      <c r="G158">
        <v>1</v>
      </c>
      <c r="H158" t="s">
        <v>13</v>
      </c>
      <c r="I158" t="s">
        <v>30</v>
      </c>
    </row>
    <row r="159" spans="1:9" x14ac:dyDescent="0.3">
      <c r="A159" t="s">
        <v>275</v>
      </c>
      <c r="B159" t="s">
        <v>276</v>
      </c>
      <c r="C159" t="s">
        <v>17</v>
      </c>
      <c r="D159" t="s">
        <v>43</v>
      </c>
      <c r="F159" s="7">
        <v>43504</v>
      </c>
      <c r="G159">
        <v>1</v>
      </c>
      <c r="H159" t="s">
        <v>13</v>
      </c>
      <c r="I159" t="s">
        <v>14</v>
      </c>
    </row>
    <row r="160" spans="1:9" x14ac:dyDescent="0.3">
      <c r="A160" t="s">
        <v>352</v>
      </c>
      <c r="B160" t="s">
        <v>353</v>
      </c>
      <c r="C160" t="s">
        <v>17</v>
      </c>
      <c r="D160" t="s">
        <v>80</v>
      </c>
      <c r="E160">
        <v>39535.49</v>
      </c>
      <c r="F160" s="7">
        <v>43397</v>
      </c>
      <c r="G160">
        <v>0.3</v>
      </c>
      <c r="H160" t="s">
        <v>13</v>
      </c>
      <c r="I160" t="s">
        <v>14</v>
      </c>
    </row>
    <row r="161" spans="1:9" x14ac:dyDescent="0.3">
      <c r="A161" t="s">
        <v>354</v>
      </c>
      <c r="B161" t="s">
        <v>355</v>
      </c>
      <c r="C161" t="s">
        <v>11</v>
      </c>
      <c r="D161" t="s">
        <v>37</v>
      </c>
      <c r="E161">
        <v>95017.1</v>
      </c>
      <c r="F161" s="7">
        <v>43283</v>
      </c>
      <c r="G161">
        <v>1</v>
      </c>
      <c r="H161" t="s">
        <v>27</v>
      </c>
      <c r="I161" t="s">
        <v>19</v>
      </c>
    </row>
    <row r="162" spans="1:9" x14ac:dyDescent="0.3">
      <c r="A162" t="s">
        <v>356</v>
      </c>
      <c r="B162" t="s">
        <v>357</v>
      </c>
      <c r="C162" t="s">
        <v>11</v>
      </c>
      <c r="D162" t="s">
        <v>18</v>
      </c>
      <c r="E162">
        <v>69764.100000000006</v>
      </c>
      <c r="F162" s="7">
        <v>44195</v>
      </c>
      <c r="G162">
        <v>1</v>
      </c>
      <c r="H162" t="s">
        <v>27</v>
      </c>
      <c r="I162" t="s">
        <v>19</v>
      </c>
    </row>
    <row r="163" spans="1:9" x14ac:dyDescent="0.3">
      <c r="A163" t="s">
        <v>358</v>
      </c>
      <c r="B163" t="s">
        <v>359</v>
      </c>
      <c r="C163" t="s">
        <v>17</v>
      </c>
      <c r="D163" t="s">
        <v>80</v>
      </c>
      <c r="E163">
        <v>84598.88</v>
      </c>
      <c r="F163" s="7">
        <v>44116</v>
      </c>
      <c r="G163">
        <v>1</v>
      </c>
      <c r="H163" t="s">
        <v>27</v>
      </c>
      <c r="I163" t="s">
        <v>19</v>
      </c>
    </row>
    <row r="164" spans="1:9" x14ac:dyDescent="0.3">
      <c r="A164" t="s">
        <v>361</v>
      </c>
      <c r="B164" t="s">
        <v>601</v>
      </c>
      <c r="C164" t="s">
        <v>11</v>
      </c>
      <c r="D164" t="s">
        <v>33</v>
      </c>
      <c r="E164">
        <v>36536.26</v>
      </c>
      <c r="F164" s="7">
        <v>44358</v>
      </c>
      <c r="G164">
        <v>1</v>
      </c>
      <c r="H164" t="s">
        <v>59</v>
      </c>
      <c r="I164" t="s">
        <v>30</v>
      </c>
    </row>
    <row r="165" spans="1:9" x14ac:dyDescent="0.3">
      <c r="A165" t="s">
        <v>363</v>
      </c>
      <c r="B165" t="s">
        <v>602</v>
      </c>
      <c r="C165" t="s">
        <v>17</v>
      </c>
      <c r="D165" t="s">
        <v>18</v>
      </c>
      <c r="E165">
        <v>61688.77</v>
      </c>
      <c r="F165" s="7">
        <v>43346</v>
      </c>
      <c r="G165">
        <v>0.9</v>
      </c>
      <c r="H165" t="s">
        <v>13</v>
      </c>
      <c r="I165" t="s">
        <v>66</v>
      </c>
    </row>
    <row r="166" spans="1:9" x14ac:dyDescent="0.3">
      <c r="A166" t="s">
        <v>365</v>
      </c>
      <c r="B166" t="s">
        <v>366</v>
      </c>
      <c r="C166" t="s">
        <v>17</v>
      </c>
      <c r="D166" t="s">
        <v>93</v>
      </c>
      <c r="F166" s="7">
        <v>44186</v>
      </c>
      <c r="G166">
        <v>1</v>
      </c>
      <c r="H166" t="s">
        <v>13</v>
      </c>
      <c r="I166" t="s">
        <v>19</v>
      </c>
    </row>
    <row r="167" spans="1:9" x14ac:dyDescent="0.3">
      <c r="A167" t="s">
        <v>368</v>
      </c>
      <c r="B167" t="s">
        <v>603</v>
      </c>
      <c r="C167" t="s">
        <v>17</v>
      </c>
      <c r="D167" t="s">
        <v>33</v>
      </c>
      <c r="E167">
        <v>88425.08</v>
      </c>
      <c r="F167" s="7">
        <v>43662</v>
      </c>
      <c r="G167">
        <v>1</v>
      </c>
      <c r="H167" t="s">
        <v>13</v>
      </c>
      <c r="I167" t="s">
        <v>30</v>
      </c>
    </row>
    <row r="168" spans="1:9" x14ac:dyDescent="0.3">
      <c r="A168" t="s">
        <v>158</v>
      </c>
      <c r="B168" t="s">
        <v>604</v>
      </c>
      <c r="C168" t="s">
        <v>17</v>
      </c>
      <c r="D168" t="s">
        <v>93</v>
      </c>
      <c r="E168">
        <v>38438.239999999998</v>
      </c>
      <c r="F168" s="7">
        <v>43962</v>
      </c>
      <c r="G168">
        <v>1</v>
      </c>
      <c r="H168" t="s">
        <v>13</v>
      </c>
      <c r="I168" t="s">
        <v>66</v>
      </c>
    </row>
    <row r="169" spans="1:9" x14ac:dyDescent="0.3">
      <c r="A169" t="s">
        <v>370</v>
      </c>
      <c r="B169" t="s">
        <v>371</v>
      </c>
      <c r="C169" t="s">
        <v>11</v>
      </c>
      <c r="D169" t="s">
        <v>80</v>
      </c>
      <c r="E169">
        <v>96753.78</v>
      </c>
      <c r="F169" s="7">
        <v>44494</v>
      </c>
      <c r="G169">
        <v>1</v>
      </c>
      <c r="H169" t="s">
        <v>13</v>
      </c>
      <c r="I169" t="s">
        <v>60</v>
      </c>
    </row>
    <row r="170" spans="1:9" x14ac:dyDescent="0.3">
      <c r="A170" t="s">
        <v>256</v>
      </c>
      <c r="B170" t="s">
        <v>257</v>
      </c>
      <c r="C170" t="s">
        <v>11</v>
      </c>
      <c r="D170" t="s">
        <v>25</v>
      </c>
      <c r="E170">
        <v>112778.28</v>
      </c>
      <c r="F170" s="7">
        <v>43250</v>
      </c>
      <c r="G170">
        <v>1</v>
      </c>
      <c r="H170" t="s">
        <v>27</v>
      </c>
      <c r="I170" t="s">
        <v>14</v>
      </c>
    </row>
    <row r="171" spans="1:9" x14ac:dyDescent="0.3">
      <c r="A171" t="s">
        <v>372</v>
      </c>
      <c r="B171" t="s">
        <v>373</v>
      </c>
      <c r="C171" t="s">
        <v>17</v>
      </c>
      <c r="D171" t="s">
        <v>37</v>
      </c>
      <c r="E171">
        <v>28974.03</v>
      </c>
      <c r="F171" s="7">
        <v>43733</v>
      </c>
      <c r="G171">
        <v>1</v>
      </c>
      <c r="H171" t="s">
        <v>13</v>
      </c>
      <c r="I171" t="s">
        <v>60</v>
      </c>
    </row>
    <row r="172" spans="1:9" x14ac:dyDescent="0.3">
      <c r="A172" t="s">
        <v>375</v>
      </c>
      <c r="B172" t="s">
        <v>605</v>
      </c>
      <c r="C172" t="s">
        <v>17</v>
      </c>
      <c r="D172" t="s">
        <v>18</v>
      </c>
      <c r="E172">
        <v>86233.83</v>
      </c>
      <c r="F172" s="7">
        <v>43706</v>
      </c>
      <c r="G172">
        <v>1</v>
      </c>
      <c r="H172" t="s">
        <v>27</v>
      </c>
      <c r="I172" t="s">
        <v>66</v>
      </c>
    </row>
    <row r="173" spans="1:9" x14ac:dyDescent="0.3">
      <c r="A173" t="s">
        <v>184</v>
      </c>
      <c r="B173" t="s">
        <v>185</v>
      </c>
      <c r="C173" t="s">
        <v>17</v>
      </c>
      <c r="D173" t="s">
        <v>93</v>
      </c>
      <c r="E173">
        <v>66865.490000000005</v>
      </c>
      <c r="F173" s="7">
        <v>43514</v>
      </c>
      <c r="G173">
        <v>1</v>
      </c>
      <c r="H173" t="s">
        <v>13</v>
      </c>
      <c r="I173" t="s">
        <v>19</v>
      </c>
    </row>
    <row r="174" spans="1:9" x14ac:dyDescent="0.3">
      <c r="A174" t="s">
        <v>377</v>
      </c>
      <c r="B174" t="s">
        <v>378</v>
      </c>
      <c r="C174" t="s">
        <v>11</v>
      </c>
      <c r="D174" t="s">
        <v>77</v>
      </c>
      <c r="E174">
        <v>119022.49</v>
      </c>
      <c r="F174" s="7">
        <v>44431</v>
      </c>
      <c r="G174">
        <v>1</v>
      </c>
      <c r="H174" t="s">
        <v>13</v>
      </c>
      <c r="I174" t="s">
        <v>60</v>
      </c>
    </row>
    <row r="175" spans="1:9" x14ac:dyDescent="0.3">
      <c r="A175" t="s">
        <v>379</v>
      </c>
      <c r="B175" t="s">
        <v>380</v>
      </c>
      <c r="C175" t="s">
        <v>17</v>
      </c>
      <c r="D175" t="s">
        <v>77</v>
      </c>
      <c r="E175">
        <v>114177.23</v>
      </c>
      <c r="F175" s="7">
        <v>43908</v>
      </c>
      <c r="G175">
        <v>1</v>
      </c>
      <c r="H175" t="s">
        <v>13</v>
      </c>
      <c r="I175" t="s">
        <v>35</v>
      </c>
    </row>
    <row r="176" spans="1:9" x14ac:dyDescent="0.3">
      <c r="A176" t="s">
        <v>382</v>
      </c>
      <c r="B176" t="s">
        <v>383</v>
      </c>
      <c r="C176" t="s">
        <v>17</v>
      </c>
      <c r="D176" t="s">
        <v>74</v>
      </c>
      <c r="E176">
        <v>100731.95</v>
      </c>
      <c r="F176" s="7">
        <v>43936</v>
      </c>
      <c r="G176">
        <v>1</v>
      </c>
      <c r="H176" t="s">
        <v>13</v>
      </c>
      <c r="I176" t="s">
        <v>60</v>
      </c>
    </row>
    <row r="177" spans="1:9" x14ac:dyDescent="0.3">
      <c r="A177" t="s">
        <v>385</v>
      </c>
      <c r="B177" t="s">
        <v>606</v>
      </c>
      <c r="C177" t="s">
        <v>17</v>
      </c>
      <c r="D177" t="s">
        <v>25</v>
      </c>
      <c r="E177">
        <v>86010.54</v>
      </c>
      <c r="F177" s="7">
        <v>43164</v>
      </c>
      <c r="G177">
        <v>1</v>
      </c>
      <c r="H177" t="s">
        <v>13</v>
      </c>
      <c r="I177" t="s">
        <v>66</v>
      </c>
    </row>
    <row r="178" spans="1:9" x14ac:dyDescent="0.3">
      <c r="A178" t="s">
        <v>386</v>
      </c>
      <c r="B178" t="s">
        <v>607</v>
      </c>
      <c r="C178" t="s">
        <v>11</v>
      </c>
      <c r="D178" t="s">
        <v>77</v>
      </c>
      <c r="E178">
        <v>52270.22</v>
      </c>
      <c r="F178" s="7">
        <v>43521</v>
      </c>
      <c r="G178">
        <v>0.3</v>
      </c>
      <c r="H178" t="s">
        <v>13</v>
      </c>
      <c r="I178" t="s">
        <v>66</v>
      </c>
    </row>
    <row r="179" spans="1:9" x14ac:dyDescent="0.3">
      <c r="A179" t="s">
        <v>387</v>
      </c>
      <c r="B179" t="s">
        <v>608</v>
      </c>
      <c r="C179" t="s">
        <v>11</v>
      </c>
      <c r="D179" t="s">
        <v>33</v>
      </c>
      <c r="E179">
        <v>61624.77</v>
      </c>
      <c r="F179" s="7">
        <v>43430</v>
      </c>
      <c r="G179">
        <v>0.3</v>
      </c>
      <c r="H179" t="s">
        <v>27</v>
      </c>
      <c r="I179" t="s">
        <v>30</v>
      </c>
    </row>
    <row r="180" spans="1:9" x14ac:dyDescent="0.3">
      <c r="A180" t="s">
        <v>388</v>
      </c>
      <c r="B180" t="s">
        <v>609</v>
      </c>
      <c r="C180" t="s">
        <v>17</v>
      </c>
      <c r="D180" t="s">
        <v>40</v>
      </c>
      <c r="E180">
        <v>104903.79</v>
      </c>
      <c r="F180" s="7">
        <v>43649</v>
      </c>
      <c r="G180">
        <v>1</v>
      </c>
      <c r="H180" t="s">
        <v>13</v>
      </c>
      <c r="I180" t="s">
        <v>66</v>
      </c>
    </row>
    <row r="181" spans="1:9" x14ac:dyDescent="0.3">
      <c r="A181" t="s">
        <v>179</v>
      </c>
      <c r="B181" t="s">
        <v>180</v>
      </c>
      <c r="C181" t="s">
        <v>17</v>
      </c>
      <c r="D181" t="s">
        <v>22</v>
      </c>
      <c r="E181">
        <v>69057.320000000007</v>
      </c>
      <c r="F181" s="7">
        <v>43390</v>
      </c>
      <c r="G181">
        <v>1</v>
      </c>
      <c r="H181" t="s">
        <v>13</v>
      </c>
      <c r="I181" t="s">
        <v>35</v>
      </c>
    </row>
    <row r="182" spans="1:9" x14ac:dyDescent="0.3">
      <c r="A182" t="s">
        <v>254</v>
      </c>
      <c r="B182" t="s">
        <v>255</v>
      </c>
      <c r="C182" t="s">
        <v>11</v>
      </c>
      <c r="D182" t="s">
        <v>37</v>
      </c>
      <c r="E182">
        <v>59258.19</v>
      </c>
      <c r="F182" s="7">
        <v>43452</v>
      </c>
      <c r="G182">
        <v>0.8</v>
      </c>
      <c r="H182" t="s">
        <v>13</v>
      </c>
      <c r="I182" t="s">
        <v>19</v>
      </c>
    </row>
    <row r="183" spans="1:9" x14ac:dyDescent="0.3">
      <c r="A183" t="s">
        <v>390</v>
      </c>
      <c r="B183" t="s">
        <v>391</v>
      </c>
      <c r="C183" t="s">
        <v>11</v>
      </c>
      <c r="D183" t="s">
        <v>43</v>
      </c>
      <c r="E183">
        <v>28160.79</v>
      </c>
      <c r="F183" s="7">
        <v>43129</v>
      </c>
      <c r="G183">
        <v>1</v>
      </c>
      <c r="H183" t="s">
        <v>59</v>
      </c>
      <c r="I183" t="s">
        <v>14</v>
      </c>
    </row>
    <row r="184" spans="1:9" x14ac:dyDescent="0.3">
      <c r="A184" t="s">
        <v>393</v>
      </c>
      <c r="B184" t="s">
        <v>394</v>
      </c>
      <c r="C184" t="s">
        <v>11</v>
      </c>
      <c r="D184" t="s">
        <v>637</v>
      </c>
      <c r="E184">
        <v>109143.17</v>
      </c>
      <c r="F184" s="7">
        <v>43945</v>
      </c>
      <c r="G184">
        <v>1</v>
      </c>
      <c r="H184" t="s">
        <v>13</v>
      </c>
      <c r="I184" t="s">
        <v>35</v>
      </c>
    </row>
    <row r="185" spans="1:9" x14ac:dyDescent="0.3">
      <c r="A185" t="s">
        <v>396</v>
      </c>
      <c r="B185" t="s">
        <v>610</v>
      </c>
      <c r="C185" t="s">
        <v>17</v>
      </c>
      <c r="D185" t="s">
        <v>40</v>
      </c>
      <c r="E185">
        <v>70755.5</v>
      </c>
      <c r="F185" s="7">
        <v>44090</v>
      </c>
      <c r="G185">
        <v>0.8</v>
      </c>
      <c r="H185" t="s">
        <v>59</v>
      </c>
      <c r="I185" t="s">
        <v>30</v>
      </c>
    </row>
    <row r="186" spans="1:9" x14ac:dyDescent="0.3">
      <c r="A186" t="s">
        <v>105</v>
      </c>
      <c r="B186" t="s">
        <v>106</v>
      </c>
      <c r="C186" t="s">
        <v>11</v>
      </c>
      <c r="D186" t="s">
        <v>18</v>
      </c>
      <c r="E186">
        <v>73360.38</v>
      </c>
      <c r="F186" s="7">
        <v>43972</v>
      </c>
      <c r="G186">
        <v>1</v>
      </c>
      <c r="H186" t="s">
        <v>59</v>
      </c>
      <c r="I186" t="s">
        <v>14</v>
      </c>
    </row>
    <row r="187" spans="1:9" x14ac:dyDescent="0.3">
      <c r="A187" t="s">
        <v>307</v>
      </c>
      <c r="B187" t="s">
        <v>611</v>
      </c>
      <c r="C187" t="s">
        <v>17</v>
      </c>
      <c r="D187" t="s">
        <v>77</v>
      </c>
      <c r="E187">
        <v>76303.820000000007</v>
      </c>
      <c r="F187" s="7">
        <v>43458</v>
      </c>
      <c r="G187">
        <v>1</v>
      </c>
      <c r="H187" t="s">
        <v>27</v>
      </c>
      <c r="I187" t="s">
        <v>30</v>
      </c>
    </row>
    <row r="188" spans="1:9" x14ac:dyDescent="0.3">
      <c r="A188" t="s">
        <v>398</v>
      </c>
      <c r="B188" t="s">
        <v>399</v>
      </c>
      <c r="C188" t="s">
        <v>17</v>
      </c>
      <c r="D188" t="s">
        <v>637</v>
      </c>
      <c r="E188">
        <v>58861.19</v>
      </c>
      <c r="F188" s="7">
        <v>43654</v>
      </c>
      <c r="G188">
        <v>1</v>
      </c>
      <c r="H188" t="s">
        <v>13</v>
      </c>
      <c r="I188" t="s">
        <v>55</v>
      </c>
    </row>
    <row r="189" spans="1:9" x14ac:dyDescent="0.3">
      <c r="A189" t="s">
        <v>401</v>
      </c>
      <c r="B189" t="s">
        <v>402</v>
      </c>
      <c r="C189" t="s">
        <v>17</v>
      </c>
      <c r="D189" t="s">
        <v>25</v>
      </c>
      <c r="E189">
        <v>58744.17</v>
      </c>
      <c r="F189" s="7">
        <v>43171</v>
      </c>
      <c r="G189">
        <v>1</v>
      </c>
      <c r="H189" t="s">
        <v>59</v>
      </c>
      <c r="I189" t="s">
        <v>55</v>
      </c>
    </row>
    <row r="190" spans="1:9" x14ac:dyDescent="0.3">
      <c r="A190" t="s">
        <v>403</v>
      </c>
      <c r="B190" t="s">
        <v>404</v>
      </c>
      <c r="C190" t="s">
        <v>17</v>
      </c>
      <c r="D190" t="s">
        <v>74</v>
      </c>
      <c r="E190">
        <v>73488.679999999993</v>
      </c>
      <c r="F190" s="7">
        <v>43570</v>
      </c>
      <c r="G190">
        <v>1</v>
      </c>
      <c r="H190" t="s">
        <v>27</v>
      </c>
      <c r="I190" t="s">
        <v>19</v>
      </c>
    </row>
    <row r="191" spans="1:9" x14ac:dyDescent="0.3">
      <c r="A191" t="s">
        <v>406</v>
      </c>
      <c r="B191" t="s">
        <v>407</v>
      </c>
      <c r="C191" t="s">
        <v>17</v>
      </c>
      <c r="D191" t="s">
        <v>74</v>
      </c>
      <c r="E191">
        <v>92704.48</v>
      </c>
      <c r="F191" s="7">
        <v>43430</v>
      </c>
      <c r="G191">
        <v>1</v>
      </c>
      <c r="H191" t="s">
        <v>27</v>
      </c>
      <c r="I191" t="s">
        <v>55</v>
      </c>
    </row>
    <row r="192" spans="1:9" x14ac:dyDescent="0.3">
      <c r="A192" t="s">
        <v>409</v>
      </c>
      <c r="B192" t="s">
        <v>612</v>
      </c>
      <c r="C192" t="s">
        <v>11</v>
      </c>
      <c r="D192" t="s">
        <v>33</v>
      </c>
      <c r="E192">
        <v>78443.78</v>
      </c>
      <c r="F192" s="7">
        <v>43599</v>
      </c>
      <c r="G192">
        <v>1</v>
      </c>
      <c r="H192" t="s">
        <v>27</v>
      </c>
      <c r="I192" t="s">
        <v>30</v>
      </c>
    </row>
    <row r="193" spans="1:9" x14ac:dyDescent="0.3">
      <c r="A193" t="s">
        <v>411</v>
      </c>
      <c r="B193" t="s">
        <v>412</v>
      </c>
      <c r="C193" t="s">
        <v>17</v>
      </c>
      <c r="D193" t="s">
        <v>33</v>
      </c>
      <c r="E193">
        <v>97105.19</v>
      </c>
      <c r="F193" s="7">
        <v>44425</v>
      </c>
      <c r="G193">
        <v>1</v>
      </c>
      <c r="H193" t="s">
        <v>13</v>
      </c>
      <c r="I193" t="s">
        <v>55</v>
      </c>
    </row>
    <row r="194" spans="1:9" x14ac:dyDescent="0.3">
      <c r="A194" t="s">
        <v>413</v>
      </c>
      <c r="B194" t="s">
        <v>414</v>
      </c>
      <c r="C194" t="s">
        <v>17</v>
      </c>
      <c r="D194" t="s">
        <v>22</v>
      </c>
      <c r="E194">
        <v>109163.39</v>
      </c>
      <c r="F194" s="7">
        <v>44019</v>
      </c>
      <c r="G194">
        <v>0.8</v>
      </c>
      <c r="H194" t="s">
        <v>13</v>
      </c>
      <c r="I194" t="s">
        <v>19</v>
      </c>
    </row>
    <row r="195" spans="1:9" x14ac:dyDescent="0.3">
      <c r="A195" t="s">
        <v>415</v>
      </c>
      <c r="B195" t="s">
        <v>416</v>
      </c>
      <c r="C195" t="s">
        <v>11</v>
      </c>
      <c r="D195" t="s">
        <v>40</v>
      </c>
      <c r="E195">
        <v>31816.57</v>
      </c>
      <c r="F195" s="7">
        <v>43497</v>
      </c>
      <c r="G195">
        <v>0.3</v>
      </c>
      <c r="H195" t="s">
        <v>27</v>
      </c>
      <c r="I195" t="s">
        <v>14</v>
      </c>
    </row>
    <row r="196" spans="1:9" x14ac:dyDescent="0.3">
      <c r="A196" t="s">
        <v>418</v>
      </c>
      <c r="B196" t="s">
        <v>419</v>
      </c>
      <c r="C196" t="s">
        <v>17</v>
      </c>
      <c r="D196" t="s">
        <v>637</v>
      </c>
      <c r="E196">
        <v>118442.54</v>
      </c>
      <c r="F196" s="7">
        <v>44193</v>
      </c>
      <c r="G196">
        <v>1</v>
      </c>
      <c r="H196" t="s">
        <v>13</v>
      </c>
      <c r="I196" t="s">
        <v>60</v>
      </c>
    </row>
    <row r="197" spans="1:9" x14ac:dyDescent="0.3">
      <c r="A197" t="s">
        <v>420</v>
      </c>
      <c r="B197" t="s">
        <v>421</v>
      </c>
      <c r="C197" t="s">
        <v>17</v>
      </c>
      <c r="D197" t="s">
        <v>25</v>
      </c>
      <c r="E197">
        <v>84745.93</v>
      </c>
      <c r="F197" s="7">
        <v>43707</v>
      </c>
      <c r="G197">
        <v>1</v>
      </c>
      <c r="H197" t="s">
        <v>13</v>
      </c>
      <c r="I197" t="s">
        <v>35</v>
      </c>
    </row>
    <row r="198" spans="1:9" x14ac:dyDescent="0.3">
      <c r="A198" t="s">
        <v>122</v>
      </c>
      <c r="B198" t="s">
        <v>123</v>
      </c>
      <c r="C198" t="s">
        <v>17</v>
      </c>
      <c r="D198" t="s">
        <v>77</v>
      </c>
      <c r="E198">
        <v>69163.39</v>
      </c>
      <c r="F198" s="7">
        <v>43397</v>
      </c>
      <c r="G198">
        <v>1</v>
      </c>
      <c r="H198" t="s">
        <v>13</v>
      </c>
      <c r="I198" t="s">
        <v>14</v>
      </c>
    </row>
    <row r="199" spans="1:9" x14ac:dyDescent="0.3">
      <c r="A199" t="s">
        <v>358</v>
      </c>
      <c r="B199" t="s">
        <v>359</v>
      </c>
      <c r="C199" t="s">
        <v>17</v>
      </c>
      <c r="D199" t="s">
        <v>80</v>
      </c>
      <c r="E199">
        <v>84598.88</v>
      </c>
      <c r="F199" s="7">
        <v>44116</v>
      </c>
      <c r="G199">
        <v>1</v>
      </c>
      <c r="H199" t="s">
        <v>27</v>
      </c>
      <c r="I199" t="s">
        <v>19</v>
      </c>
    </row>
    <row r="200" spans="1:9" x14ac:dyDescent="0.3">
      <c r="A200" t="s">
        <v>423</v>
      </c>
      <c r="B200" t="s">
        <v>424</v>
      </c>
      <c r="C200" t="s">
        <v>17</v>
      </c>
      <c r="D200" t="s">
        <v>93</v>
      </c>
      <c r="E200">
        <v>68795.48</v>
      </c>
      <c r="F200" s="7">
        <v>44277</v>
      </c>
      <c r="G200">
        <v>0.2</v>
      </c>
      <c r="H200" t="s">
        <v>13</v>
      </c>
      <c r="I200" t="s">
        <v>14</v>
      </c>
    </row>
    <row r="201" spans="1:9" x14ac:dyDescent="0.3">
      <c r="A201" t="s">
        <v>425</v>
      </c>
      <c r="B201" t="s">
        <v>426</v>
      </c>
      <c r="C201" t="s">
        <v>17</v>
      </c>
      <c r="D201" t="s">
        <v>22</v>
      </c>
      <c r="E201">
        <v>32269.91</v>
      </c>
      <c r="F201" s="7">
        <v>43346</v>
      </c>
      <c r="G201">
        <v>1</v>
      </c>
      <c r="H201" t="s">
        <v>13</v>
      </c>
      <c r="I201" t="s">
        <v>14</v>
      </c>
    </row>
    <row r="202" spans="1:9" x14ac:dyDescent="0.3">
      <c r="A202" t="s">
        <v>427</v>
      </c>
      <c r="B202" t="s">
        <v>428</v>
      </c>
      <c r="C202" t="s">
        <v>11</v>
      </c>
      <c r="D202" t="s">
        <v>43</v>
      </c>
      <c r="E202">
        <v>78705.929999999993</v>
      </c>
      <c r="F202" s="7">
        <v>43409</v>
      </c>
      <c r="G202">
        <v>1</v>
      </c>
      <c r="H202" t="s">
        <v>27</v>
      </c>
      <c r="I202" t="s">
        <v>19</v>
      </c>
    </row>
    <row r="203" spans="1:9" x14ac:dyDescent="0.3">
      <c r="A203" t="s">
        <v>430</v>
      </c>
      <c r="B203" t="s">
        <v>431</v>
      </c>
      <c r="C203" t="s">
        <v>11</v>
      </c>
      <c r="D203" t="s">
        <v>40</v>
      </c>
      <c r="E203">
        <v>53535.62</v>
      </c>
      <c r="F203" s="7">
        <v>44110</v>
      </c>
      <c r="G203">
        <v>0.5</v>
      </c>
      <c r="H203" t="s">
        <v>27</v>
      </c>
      <c r="I203" t="s">
        <v>19</v>
      </c>
    </row>
    <row r="204" spans="1:9" x14ac:dyDescent="0.3">
      <c r="A204" t="s">
        <v>433</v>
      </c>
      <c r="B204" t="s">
        <v>434</v>
      </c>
      <c r="C204" t="s">
        <v>17</v>
      </c>
      <c r="D204" t="s">
        <v>80</v>
      </c>
      <c r="E204">
        <v>41934.71</v>
      </c>
      <c r="F204" s="7">
        <v>43780</v>
      </c>
      <c r="G204">
        <v>1</v>
      </c>
      <c r="H204" t="s">
        <v>13</v>
      </c>
      <c r="I204" t="s">
        <v>14</v>
      </c>
    </row>
    <row r="205" spans="1:9" x14ac:dyDescent="0.3">
      <c r="A205" t="s">
        <v>435</v>
      </c>
      <c r="B205" t="s">
        <v>436</v>
      </c>
      <c r="C205" t="s">
        <v>17</v>
      </c>
      <c r="D205" t="s">
        <v>93</v>
      </c>
      <c r="E205">
        <v>91929.69</v>
      </c>
      <c r="F205" s="7">
        <v>44085</v>
      </c>
      <c r="G205">
        <v>1</v>
      </c>
      <c r="H205" t="s">
        <v>27</v>
      </c>
      <c r="I205" t="s">
        <v>14</v>
      </c>
    </row>
    <row r="206" spans="1:9" x14ac:dyDescent="0.3">
      <c r="A206" t="s">
        <v>437</v>
      </c>
      <c r="B206" t="s">
        <v>438</v>
      </c>
      <c r="C206" t="s">
        <v>11</v>
      </c>
      <c r="D206" t="s">
        <v>43</v>
      </c>
      <c r="E206">
        <v>62281.24</v>
      </c>
      <c r="F206" s="7">
        <v>43272</v>
      </c>
      <c r="G206">
        <v>1</v>
      </c>
      <c r="H206" t="s">
        <v>13</v>
      </c>
      <c r="I206" t="s">
        <v>14</v>
      </c>
    </row>
    <row r="207" spans="1:9" x14ac:dyDescent="0.3">
      <c r="A207" t="s">
        <v>439</v>
      </c>
      <c r="B207" t="s">
        <v>440</v>
      </c>
      <c r="C207" t="s">
        <v>11</v>
      </c>
      <c r="D207" t="s">
        <v>77</v>
      </c>
      <c r="E207">
        <v>57925.91</v>
      </c>
      <c r="F207" s="7">
        <v>43572</v>
      </c>
      <c r="G207">
        <v>0.5</v>
      </c>
      <c r="H207" t="s">
        <v>13</v>
      </c>
      <c r="I207" t="s">
        <v>35</v>
      </c>
    </row>
    <row r="208" spans="1:9" x14ac:dyDescent="0.3">
      <c r="A208" t="s">
        <v>442</v>
      </c>
      <c r="B208" t="s">
        <v>443</v>
      </c>
      <c r="C208" t="s">
        <v>11</v>
      </c>
      <c r="D208" t="s">
        <v>33</v>
      </c>
      <c r="E208">
        <v>82239.53</v>
      </c>
      <c r="F208" s="7">
        <v>43846</v>
      </c>
      <c r="G208">
        <v>1</v>
      </c>
      <c r="H208" t="s">
        <v>59</v>
      </c>
      <c r="I208" t="s">
        <v>55</v>
      </c>
    </row>
    <row r="209" spans="1:9" x14ac:dyDescent="0.3">
      <c r="A209" t="s">
        <v>444</v>
      </c>
      <c r="B209" t="s">
        <v>445</v>
      </c>
      <c r="C209" t="s">
        <v>11</v>
      </c>
      <c r="D209" t="s">
        <v>33</v>
      </c>
      <c r="E209">
        <v>53184.02</v>
      </c>
      <c r="F209" s="7">
        <v>43180</v>
      </c>
      <c r="G209">
        <v>1</v>
      </c>
      <c r="H209" t="s">
        <v>27</v>
      </c>
      <c r="I209" t="s">
        <v>14</v>
      </c>
    </row>
    <row r="210" spans="1:9" x14ac:dyDescent="0.3">
      <c r="A210" t="s">
        <v>447</v>
      </c>
      <c r="B210" t="s">
        <v>613</v>
      </c>
      <c r="C210" t="s">
        <v>11</v>
      </c>
      <c r="D210" t="s">
        <v>77</v>
      </c>
      <c r="E210">
        <v>35936.31</v>
      </c>
      <c r="F210" s="7">
        <v>43241</v>
      </c>
      <c r="G210">
        <v>1</v>
      </c>
      <c r="H210" t="s">
        <v>13</v>
      </c>
      <c r="I210" t="s">
        <v>66</v>
      </c>
    </row>
    <row r="211" spans="1:9" x14ac:dyDescent="0.3">
      <c r="A211" t="s">
        <v>448</v>
      </c>
      <c r="B211" t="s">
        <v>449</v>
      </c>
      <c r="C211" t="s">
        <v>17</v>
      </c>
      <c r="D211" t="s">
        <v>22</v>
      </c>
      <c r="E211">
        <v>28305.08</v>
      </c>
      <c r="F211" s="7">
        <v>43754</v>
      </c>
      <c r="G211">
        <v>1</v>
      </c>
      <c r="H211" t="s">
        <v>13</v>
      </c>
      <c r="I211" t="s">
        <v>14</v>
      </c>
    </row>
    <row r="212" spans="1:9" x14ac:dyDescent="0.3">
      <c r="A212" t="s">
        <v>450</v>
      </c>
      <c r="B212" t="s">
        <v>451</v>
      </c>
      <c r="C212" t="s">
        <v>11</v>
      </c>
      <c r="D212" t="s">
        <v>99</v>
      </c>
      <c r="E212">
        <v>29774.76</v>
      </c>
      <c r="F212" s="7">
        <v>44105</v>
      </c>
      <c r="G212">
        <v>1</v>
      </c>
      <c r="H212" t="s">
        <v>13</v>
      </c>
      <c r="I212" t="s">
        <v>35</v>
      </c>
    </row>
    <row r="213" spans="1:9" x14ac:dyDescent="0.3">
      <c r="A213" t="s">
        <v>453</v>
      </c>
      <c r="B213" t="s">
        <v>614</v>
      </c>
      <c r="C213" t="s">
        <v>11</v>
      </c>
      <c r="D213" t="s">
        <v>77</v>
      </c>
      <c r="E213">
        <v>102515.81</v>
      </c>
      <c r="F213" s="7">
        <v>43902</v>
      </c>
      <c r="G213">
        <v>1</v>
      </c>
      <c r="H213" t="s">
        <v>27</v>
      </c>
      <c r="I213" t="s">
        <v>66</v>
      </c>
    </row>
    <row r="214" spans="1:9" x14ac:dyDescent="0.3">
      <c r="A214" t="s">
        <v>181</v>
      </c>
      <c r="B214" t="s">
        <v>182</v>
      </c>
      <c r="D214" t="s">
        <v>74</v>
      </c>
      <c r="E214">
        <v>99448.78</v>
      </c>
      <c r="F214" s="7">
        <v>43473</v>
      </c>
      <c r="G214">
        <v>1</v>
      </c>
      <c r="H214" t="s">
        <v>27</v>
      </c>
      <c r="I214" t="s">
        <v>35</v>
      </c>
    </row>
    <row r="215" spans="1:9" x14ac:dyDescent="0.3">
      <c r="A215" t="s">
        <v>423</v>
      </c>
      <c r="B215" t="s">
        <v>424</v>
      </c>
      <c r="C215" t="s">
        <v>17</v>
      </c>
      <c r="D215" t="s">
        <v>93</v>
      </c>
      <c r="E215">
        <v>68795.48</v>
      </c>
      <c r="F215" s="7">
        <v>44277</v>
      </c>
      <c r="G215">
        <v>0.2</v>
      </c>
      <c r="H215" t="s">
        <v>13</v>
      </c>
      <c r="I215" t="s">
        <v>14</v>
      </c>
    </row>
    <row r="216" spans="1:9" x14ac:dyDescent="0.3">
      <c r="A216" t="s">
        <v>235</v>
      </c>
      <c r="B216" t="s">
        <v>236</v>
      </c>
      <c r="C216" t="s">
        <v>17</v>
      </c>
      <c r="D216" t="s">
        <v>43</v>
      </c>
      <c r="E216">
        <v>99683.67</v>
      </c>
      <c r="F216" s="7">
        <v>43500</v>
      </c>
      <c r="G216">
        <v>1</v>
      </c>
      <c r="H216" t="s">
        <v>27</v>
      </c>
      <c r="I216" t="s">
        <v>19</v>
      </c>
    </row>
    <row r="217" spans="1:9" x14ac:dyDescent="0.3">
      <c r="A217" t="s">
        <v>454</v>
      </c>
      <c r="B217" t="s">
        <v>455</v>
      </c>
      <c r="C217" t="s">
        <v>11</v>
      </c>
      <c r="D217" t="s">
        <v>77</v>
      </c>
      <c r="E217">
        <v>38825.18</v>
      </c>
      <c r="F217" s="7">
        <v>43696</v>
      </c>
      <c r="G217">
        <v>1</v>
      </c>
      <c r="H217" t="s">
        <v>59</v>
      </c>
      <c r="I217" t="s">
        <v>14</v>
      </c>
    </row>
    <row r="218" spans="1:9" x14ac:dyDescent="0.3">
      <c r="A218" t="s">
        <v>456</v>
      </c>
      <c r="B218" t="s">
        <v>615</v>
      </c>
      <c r="C218" t="s">
        <v>17</v>
      </c>
      <c r="D218" t="s">
        <v>22</v>
      </c>
      <c r="E218">
        <v>71229.42</v>
      </c>
      <c r="F218" s="7">
        <v>44166</v>
      </c>
      <c r="G218">
        <v>1</v>
      </c>
      <c r="H218" t="s">
        <v>13</v>
      </c>
      <c r="I218" t="s">
        <v>30</v>
      </c>
    </row>
    <row r="219" spans="1:9" x14ac:dyDescent="0.3">
      <c r="A219" t="s">
        <v>457</v>
      </c>
      <c r="B219" t="s">
        <v>219</v>
      </c>
      <c r="C219" t="s">
        <v>17</v>
      </c>
      <c r="D219" t="s">
        <v>18</v>
      </c>
      <c r="E219">
        <v>80695.740000000005</v>
      </c>
      <c r="F219" s="7">
        <v>43360</v>
      </c>
      <c r="G219">
        <v>1</v>
      </c>
      <c r="H219" t="s">
        <v>13</v>
      </c>
      <c r="I219" t="s">
        <v>55</v>
      </c>
    </row>
    <row r="220" spans="1:9" x14ac:dyDescent="0.3">
      <c r="A220" t="s">
        <v>458</v>
      </c>
      <c r="B220" t="s">
        <v>459</v>
      </c>
      <c r="C220" t="s">
        <v>17</v>
      </c>
      <c r="D220" t="s">
        <v>93</v>
      </c>
      <c r="E220">
        <v>72502.61</v>
      </c>
      <c r="F220" s="7">
        <v>44235</v>
      </c>
      <c r="G220">
        <v>1</v>
      </c>
      <c r="H220" t="s">
        <v>13</v>
      </c>
      <c r="I220" t="s">
        <v>35</v>
      </c>
    </row>
    <row r="221" spans="1:9" x14ac:dyDescent="0.3">
      <c r="A221" t="s">
        <v>460</v>
      </c>
      <c r="B221" t="s">
        <v>461</v>
      </c>
      <c r="C221" t="s">
        <v>17</v>
      </c>
      <c r="D221" t="s">
        <v>93</v>
      </c>
      <c r="E221">
        <v>68197.899999999994</v>
      </c>
      <c r="F221" s="7">
        <v>44119</v>
      </c>
      <c r="G221">
        <v>1</v>
      </c>
      <c r="H221" t="s">
        <v>13</v>
      </c>
      <c r="I221" t="s">
        <v>60</v>
      </c>
    </row>
    <row r="222" spans="1:9" x14ac:dyDescent="0.3">
      <c r="A222" t="s">
        <v>462</v>
      </c>
      <c r="B222" t="s">
        <v>463</v>
      </c>
      <c r="C222" t="s">
        <v>17</v>
      </c>
      <c r="D222" t="s">
        <v>77</v>
      </c>
      <c r="F222" s="7">
        <v>43501</v>
      </c>
      <c r="G222">
        <v>1</v>
      </c>
      <c r="H222" t="s">
        <v>27</v>
      </c>
      <c r="I222" t="s">
        <v>55</v>
      </c>
    </row>
    <row r="223" spans="1:9" x14ac:dyDescent="0.3">
      <c r="A223" t="s">
        <v>465</v>
      </c>
      <c r="B223" t="s">
        <v>466</v>
      </c>
      <c r="C223" t="s">
        <v>11</v>
      </c>
      <c r="D223" t="s">
        <v>93</v>
      </c>
      <c r="E223">
        <v>89960.6</v>
      </c>
      <c r="F223" s="7">
        <v>43515</v>
      </c>
      <c r="G223">
        <v>1</v>
      </c>
      <c r="H223" t="s">
        <v>27</v>
      </c>
      <c r="I223" t="s">
        <v>60</v>
      </c>
    </row>
    <row r="224" spans="1:9" x14ac:dyDescent="0.3">
      <c r="A224" t="s">
        <v>467</v>
      </c>
      <c r="B224" t="s">
        <v>468</v>
      </c>
      <c r="C224" t="s">
        <v>11</v>
      </c>
      <c r="D224" t="s">
        <v>33</v>
      </c>
      <c r="F224" s="7">
        <v>44207</v>
      </c>
      <c r="G224">
        <v>0.7</v>
      </c>
      <c r="H224" t="s">
        <v>13</v>
      </c>
      <c r="I224" t="s">
        <v>19</v>
      </c>
    </row>
    <row r="225" spans="1:9" x14ac:dyDescent="0.3">
      <c r="A225" t="s">
        <v>351</v>
      </c>
      <c r="B225" t="s">
        <v>616</v>
      </c>
      <c r="C225" t="s">
        <v>11</v>
      </c>
      <c r="D225" t="s">
        <v>99</v>
      </c>
      <c r="E225">
        <v>28481.16</v>
      </c>
      <c r="F225" s="7">
        <v>43916</v>
      </c>
      <c r="G225">
        <v>1</v>
      </c>
      <c r="H225" t="s">
        <v>13</v>
      </c>
      <c r="I225" t="s">
        <v>30</v>
      </c>
    </row>
    <row r="226" spans="1:9" x14ac:dyDescent="0.3">
      <c r="A226" t="s">
        <v>154</v>
      </c>
      <c r="B226" t="s">
        <v>617</v>
      </c>
      <c r="C226" t="s">
        <v>17</v>
      </c>
      <c r="D226" t="s">
        <v>25</v>
      </c>
      <c r="E226">
        <v>116767.63</v>
      </c>
      <c r="F226" s="7">
        <v>43949</v>
      </c>
      <c r="G226">
        <v>0.4</v>
      </c>
      <c r="H226" t="s">
        <v>59</v>
      </c>
      <c r="I226" t="s">
        <v>66</v>
      </c>
    </row>
    <row r="227" spans="1:9" x14ac:dyDescent="0.3">
      <c r="A227" t="s">
        <v>469</v>
      </c>
      <c r="B227" t="s">
        <v>470</v>
      </c>
      <c r="C227" t="s">
        <v>11</v>
      </c>
      <c r="D227" t="s">
        <v>93</v>
      </c>
      <c r="E227">
        <v>80360.41</v>
      </c>
      <c r="F227" s="7">
        <v>44167</v>
      </c>
      <c r="G227">
        <v>1</v>
      </c>
      <c r="H227" t="s">
        <v>13</v>
      </c>
      <c r="I227" t="s">
        <v>14</v>
      </c>
    </row>
    <row r="228" spans="1:9" x14ac:dyDescent="0.3">
      <c r="A228" t="s">
        <v>472</v>
      </c>
      <c r="B228" t="s">
        <v>473</v>
      </c>
      <c r="C228" t="s">
        <v>17</v>
      </c>
      <c r="D228" t="s">
        <v>80</v>
      </c>
      <c r="E228">
        <v>77045.440000000002</v>
      </c>
      <c r="F228" s="7">
        <v>43636</v>
      </c>
      <c r="G228">
        <v>1</v>
      </c>
      <c r="H228" t="s">
        <v>13</v>
      </c>
      <c r="I228" t="s">
        <v>14</v>
      </c>
    </row>
    <row r="229" spans="1:9" x14ac:dyDescent="0.3">
      <c r="A229" t="s">
        <v>475</v>
      </c>
      <c r="B229" t="s">
        <v>476</v>
      </c>
      <c r="C229" t="s">
        <v>17</v>
      </c>
      <c r="D229" t="s">
        <v>25</v>
      </c>
      <c r="E229">
        <v>96135.75</v>
      </c>
      <c r="F229" s="7">
        <v>44025</v>
      </c>
      <c r="G229">
        <v>0.3</v>
      </c>
      <c r="H229" t="s">
        <v>13</v>
      </c>
      <c r="I229" t="s">
        <v>35</v>
      </c>
    </row>
    <row r="230" spans="1:9" x14ac:dyDescent="0.3">
      <c r="A230" t="s">
        <v>478</v>
      </c>
      <c r="B230" t="s">
        <v>479</v>
      </c>
      <c r="C230" t="s">
        <v>17</v>
      </c>
      <c r="D230" t="s">
        <v>80</v>
      </c>
      <c r="E230">
        <v>102129.37</v>
      </c>
      <c r="F230" s="7">
        <v>44396</v>
      </c>
      <c r="G230">
        <v>1</v>
      </c>
      <c r="H230" t="s">
        <v>13</v>
      </c>
      <c r="I230" t="s">
        <v>55</v>
      </c>
    </row>
    <row r="231" spans="1:9" x14ac:dyDescent="0.3">
      <c r="A231" t="s">
        <v>480</v>
      </c>
      <c r="B231" t="s">
        <v>481</v>
      </c>
      <c r="C231" t="s">
        <v>17</v>
      </c>
      <c r="D231" t="s">
        <v>25</v>
      </c>
      <c r="E231">
        <v>99965.97</v>
      </c>
      <c r="F231" s="7">
        <v>43133</v>
      </c>
      <c r="G231">
        <v>1</v>
      </c>
      <c r="H231" t="s">
        <v>13</v>
      </c>
      <c r="I231" t="s">
        <v>14</v>
      </c>
    </row>
    <row r="232" spans="1:9" x14ac:dyDescent="0.3">
      <c r="A232" t="s">
        <v>483</v>
      </c>
      <c r="B232" t="s">
        <v>484</v>
      </c>
      <c r="C232" t="s">
        <v>17</v>
      </c>
      <c r="D232" t="s">
        <v>93</v>
      </c>
      <c r="E232">
        <v>49625.64</v>
      </c>
      <c r="F232" s="7">
        <v>44384</v>
      </c>
      <c r="G232">
        <v>0.5</v>
      </c>
      <c r="H232" t="s">
        <v>27</v>
      </c>
      <c r="I232" t="s">
        <v>14</v>
      </c>
    </row>
    <row r="233" spans="1:9" x14ac:dyDescent="0.3">
      <c r="A233" t="s">
        <v>485</v>
      </c>
      <c r="B233" t="s">
        <v>486</v>
      </c>
      <c r="C233" t="s">
        <v>17</v>
      </c>
      <c r="D233" t="s">
        <v>33</v>
      </c>
      <c r="E233">
        <v>94815.28</v>
      </c>
      <c r="F233" s="7">
        <v>43440</v>
      </c>
      <c r="G233">
        <v>1</v>
      </c>
      <c r="H233" t="s">
        <v>13</v>
      </c>
      <c r="I233" t="s">
        <v>19</v>
      </c>
    </row>
    <row r="234" spans="1:9" x14ac:dyDescent="0.3">
      <c r="A234" t="s">
        <v>488</v>
      </c>
      <c r="B234" t="s">
        <v>618</v>
      </c>
      <c r="C234" t="s">
        <v>11</v>
      </c>
      <c r="D234" t="s">
        <v>37</v>
      </c>
      <c r="E234">
        <v>36714.379999999997</v>
      </c>
      <c r="F234" s="7">
        <v>44175</v>
      </c>
      <c r="G234">
        <v>1</v>
      </c>
      <c r="H234" t="s">
        <v>13</v>
      </c>
      <c r="I234" t="s">
        <v>66</v>
      </c>
    </row>
    <row r="235" spans="1:9" x14ac:dyDescent="0.3">
      <c r="A235" t="s">
        <v>489</v>
      </c>
      <c r="B235" t="s">
        <v>490</v>
      </c>
      <c r="C235" t="s">
        <v>17</v>
      </c>
      <c r="D235" t="s">
        <v>40</v>
      </c>
      <c r="E235">
        <v>67905.8</v>
      </c>
      <c r="F235" s="7">
        <v>44194</v>
      </c>
      <c r="G235">
        <v>1</v>
      </c>
      <c r="H235" t="s">
        <v>13</v>
      </c>
      <c r="I235" t="s">
        <v>14</v>
      </c>
    </row>
    <row r="236" spans="1:9" x14ac:dyDescent="0.3">
      <c r="A236" t="s">
        <v>491</v>
      </c>
      <c r="B236" t="s">
        <v>492</v>
      </c>
      <c r="C236" t="s">
        <v>11</v>
      </c>
      <c r="D236" t="s">
        <v>74</v>
      </c>
      <c r="E236">
        <v>69862.38</v>
      </c>
      <c r="F236" s="7">
        <v>43458</v>
      </c>
      <c r="G236">
        <v>1</v>
      </c>
      <c r="H236" t="s">
        <v>13</v>
      </c>
      <c r="I236" t="s">
        <v>35</v>
      </c>
    </row>
    <row r="237" spans="1:9" x14ac:dyDescent="0.3">
      <c r="A237" t="s">
        <v>302</v>
      </c>
      <c r="B237" t="s">
        <v>303</v>
      </c>
      <c r="C237" t="s">
        <v>11</v>
      </c>
      <c r="D237" t="s">
        <v>77</v>
      </c>
      <c r="E237">
        <v>36547.58</v>
      </c>
      <c r="F237" s="7">
        <v>43416</v>
      </c>
      <c r="G237">
        <v>1</v>
      </c>
      <c r="H237" t="s">
        <v>13</v>
      </c>
      <c r="I237" t="s">
        <v>14</v>
      </c>
    </row>
    <row r="238" spans="1:9" x14ac:dyDescent="0.3">
      <c r="A238" t="s">
        <v>494</v>
      </c>
      <c r="B238" t="s">
        <v>619</v>
      </c>
      <c r="C238" t="s">
        <v>11</v>
      </c>
      <c r="D238" t="s">
        <v>18</v>
      </c>
      <c r="E238">
        <v>106400.02</v>
      </c>
      <c r="F238" s="7">
        <v>44021</v>
      </c>
      <c r="G238">
        <v>1</v>
      </c>
      <c r="H238" t="s">
        <v>59</v>
      </c>
      <c r="I238" t="s">
        <v>66</v>
      </c>
    </row>
    <row r="239" spans="1:9" x14ac:dyDescent="0.3">
      <c r="A239" t="s">
        <v>496</v>
      </c>
      <c r="B239" t="s">
        <v>497</v>
      </c>
      <c r="C239" t="s">
        <v>11</v>
      </c>
      <c r="D239" t="s">
        <v>74</v>
      </c>
      <c r="E239">
        <v>103494.94</v>
      </c>
      <c r="F239" s="7">
        <v>43256</v>
      </c>
      <c r="G239">
        <v>1</v>
      </c>
      <c r="H239" t="s">
        <v>13</v>
      </c>
      <c r="I239" t="s">
        <v>14</v>
      </c>
    </row>
    <row r="240" spans="1:9" x14ac:dyDescent="0.3">
      <c r="A240" t="s">
        <v>370</v>
      </c>
      <c r="B240" t="s">
        <v>371</v>
      </c>
      <c r="C240" t="s">
        <v>11</v>
      </c>
      <c r="D240" t="s">
        <v>80</v>
      </c>
      <c r="E240">
        <v>96753.78</v>
      </c>
      <c r="F240" s="7">
        <v>44494</v>
      </c>
      <c r="G240">
        <v>1</v>
      </c>
      <c r="H240" t="s">
        <v>13</v>
      </c>
      <c r="I240" t="s">
        <v>60</v>
      </c>
    </row>
    <row r="241" spans="1:9" x14ac:dyDescent="0.3">
      <c r="A241" t="s">
        <v>457</v>
      </c>
      <c r="B241" t="s">
        <v>219</v>
      </c>
      <c r="C241" t="s">
        <v>17</v>
      </c>
      <c r="D241" t="s">
        <v>18</v>
      </c>
      <c r="E241">
        <v>80695.740000000005</v>
      </c>
      <c r="F241" s="7">
        <v>43360</v>
      </c>
      <c r="G241">
        <v>1</v>
      </c>
      <c r="H241" t="s">
        <v>13</v>
      </c>
      <c r="I241" t="s">
        <v>55</v>
      </c>
    </row>
    <row r="242" spans="1:9" x14ac:dyDescent="0.3">
      <c r="A242" t="s">
        <v>499</v>
      </c>
      <c r="B242" t="s">
        <v>620</v>
      </c>
      <c r="C242" t="s">
        <v>17</v>
      </c>
      <c r="D242" t="s">
        <v>99</v>
      </c>
      <c r="E242">
        <v>61213.01</v>
      </c>
      <c r="F242" s="7">
        <v>44365</v>
      </c>
      <c r="G242">
        <v>1</v>
      </c>
      <c r="H242" t="s">
        <v>13</v>
      </c>
      <c r="I242" t="s">
        <v>66</v>
      </c>
    </row>
    <row r="243" spans="1:9" x14ac:dyDescent="0.3">
      <c r="A243" t="s">
        <v>501</v>
      </c>
      <c r="B243" t="s">
        <v>621</v>
      </c>
      <c r="C243" t="s">
        <v>11</v>
      </c>
      <c r="D243" t="s">
        <v>43</v>
      </c>
      <c r="E243">
        <v>69709.509999999995</v>
      </c>
      <c r="F243" s="7">
        <v>43472</v>
      </c>
      <c r="G243">
        <v>1</v>
      </c>
      <c r="H243" t="s">
        <v>13</v>
      </c>
      <c r="I243" t="s">
        <v>30</v>
      </c>
    </row>
    <row r="244" spans="1:9" x14ac:dyDescent="0.3">
      <c r="A244" t="s">
        <v>503</v>
      </c>
      <c r="B244" t="s">
        <v>622</v>
      </c>
      <c r="C244" t="s">
        <v>17</v>
      </c>
      <c r="D244" t="s">
        <v>43</v>
      </c>
      <c r="E244">
        <v>46751.7</v>
      </c>
      <c r="F244" s="7">
        <v>43843</v>
      </c>
      <c r="G244">
        <v>1</v>
      </c>
      <c r="H244" t="s">
        <v>27</v>
      </c>
      <c r="I244" t="s">
        <v>30</v>
      </c>
    </row>
    <row r="245" spans="1:9" x14ac:dyDescent="0.3">
      <c r="A245" t="s">
        <v>504</v>
      </c>
      <c r="B245" t="s">
        <v>623</v>
      </c>
      <c r="C245" t="s">
        <v>11</v>
      </c>
      <c r="D245" t="s">
        <v>22</v>
      </c>
      <c r="E245">
        <v>77096.05</v>
      </c>
      <c r="F245" s="7">
        <v>43217</v>
      </c>
      <c r="G245">
        <v>1</v>
      </c>
      <c r="H245" t="s">
        <v>13</v>
      </c>
      <c r="I245" t="s">
        <v>66</v>
      </c>
    </row>
    <row r="246" spans="1:9" x14ac:dyDescent="0.3">
      <c r="A246" t="s">
        <v>141</v>
      </c>
      <c r="B246" t="s">
        <v>142</v>
      </c>
      <c r="C246" t="s">
        <v>17</v>
      </c>
      <c r="D246" t="s">
        <v>93</v>
      </c>
      <c r="E246">
        <v>67818.14</v>
      </c>
      <c r="F246" s="7">
        <v>43406</v>
      </c>
      <c r="G246">
        <v>0.6</v>
      </c>
      <c r="H246" t="s">
        <v>27</v>
      </c>
      <c r="I246" t="s">
        <v>14</v>
      </c>
    </row>
    <row r="247" spans="1:9" x14ac:dyDescent="0.3">
      <c r="A247" t="s">
        <v>505</v>
      </c>
      <c r="B247" t="s">
        <v>624</v>
      </c>
      <c r="C247" t="s">
        <v>11</v>
      </c>
      <c r="D247" t="s">
        <v>93</v>
      </c>
      <c r="E247">
        <v>77743.149999999994</v>
      </c>
      <c r="F247" s="7">
        <v>43920</v>
      </c>
      <c r="G247">
        <v>1</v>
      </c>
      <c r="H247" t="s">
        <v>13</v>
      </c>
      <c r="I247" t="s">
        <v>66</v>
      </c>
    </row>
    <row r="248" spans="1:9" x14ac:dyDescent="0.3">
      <c r="A248" t="s">
        <v>507</v>
      </c>
      <c r="B248" t="s">
        <v>625</v>
      </c>
      <c r="C248" t="s">
        <v>11</v>
      </c>
      <c r="D248" t="s">
        <v>74</v>
      </c>
      <c r="E248">
        <v>48525.71</v>
      </c>
      <c r="F248" s="7">
        <v>43264</v>
      </c>
      <c r="G248">
        <v>1</v>
      </c>
      <c r="H248" t="s">
        <v>13</v>
      </c>
      <c r="I248" t="s">
        <v>30</v>
      </c>
    </row>
    <row r="249" spans="1:9" x14ac:dyDescent="0.3">
      <c r="A249" t="s">
        <v>496</v>
      </c>
      <c r="B249" t="s">
        <v>497</v>
      </c>
      <c r="C249" t="s">
        <v>11</v>
      </c>
      <c r="D249" t="s">
        <v>74</v>
      </c>
      <c r="E249">
        <v>103494.94</v>
      </c>
      <c r="F249" s="7">
        <v>43256</v>
      </c>
      <c r="G249">
        <v>1</v>
      </c>
      <c r="H249" t="s">
        <v>13</v>
      </c>
      <c r="I249" t="s">
        <v>14</v>
      </c>
    </row>
    <row r="250" spans="1:9" x14ac:dyDescent="0.3">
      <c r="A250" t="s">
        <v>494</v>
      </c>
      <c r="B250" t="s">
        <v>626</v>
      </c>
      <c r="C250" t="s">
        <v>11</v>
      </c>
      <c r="D250" t="s">
        <v>18</v>
      </c>
      <c r="E250">
        <v>106400.02</v>
      </c>
      <c r="F250" s="7">
        <v>44021</v>
      </c>
      <c r="G250">
        <v>1</v>
      </c>
      <c r="H250" t="s">
        <v>59</v>
      </c>
      <c r="I250" t="s">
        <v>66</v>
      </c>
    </row>
    <row r="251" spans="1:9" x14ac:dyDescent="0.3">
      <c r="A251" t="s">
        <v>509</v>
      </c>
      <c r="B251" t="s">
        <v>510</v>
      </c>
      <c r="C251" t="s">
        <v>17</v>
      </c>
      <c r="D251" t="s">
        <v>25</v>
      </c>
      <c r="F251" s="7">
        <v>44035</v>
      </c>
      <c r="G251">
        <v>1</v>
      </c>
      <c r="H251" t="s">
        <v>13</v>
      </c>
      <c r="I251" t="s">
        <v>60</v>
      </c>
    </row>
    <row r="252" spans="1:9" x14ac:dyDescent="0.3">
      <c r="A252" t="s">
        <v>512</v>
      </c>
      <c r="B252" t="s">
        <v>513</v>
      </c>
      <c r="C252" t="s">
        <v>11</v>
      </c>
      <c r="D252" t="s">
        <v>74</v>
      </c>
      <c r="E252">
        <v>65569.36</v>
      </c>
      <c r="F252" s="7">
        <v>43293</v>
      </c>
      <c r="G252">
        <v>1</v>
      </c>
      <c r="H252" t="s">
        <v>27</v>
      </c>
      <c r="I252" t="s">
        <v>60</v>
      </c>
    </row>
    <row r="253" spans="1:9" x14ac:dyDescent="0.3">
      <c r="A253" t="s">
        <v>317</v>
      </c>
      <c r="B253" t="s">
        <v>627</v>
      </c>
      <c r="C253" t="s">
        <v>11</v>
      </c>
      <c r="D253" t="s">
        <v>93</v>
      </c>
      <c r="E253">
        <v>40445.29</v>
      </c>
      <c r="F253" s="7">
        <v>44393</v>
      </c>
      <c r="G253">
        <v>1</v>
      </c>
      <c r="H253" t="s">
        <v>13</v>
      </c>
      <c r="I253" t="s">
        <v>66</v>
      </c>
    </row>
    <row r="254" spans="1:9" x14ac:dyDescent="0.3">
      <c r="A254" t="s">
        <v>467</v>
      </c>
      <c r="B254" t="s">
        <v>468</v>
      </c>
      <c r="C254" t="s">
        <v>11</v>
      </c>
      <c r="D254" t="s">
        <v>33</v>
      </c>
      <c r="E254">
        <v>0</v>
      </c>
      <c r="F254" s="7">
        <v>44207</v>
      </c>
      <c r="G254">
        <v>0.7</v>
      </c>
      <c r="H254" t="s">
        <v>13</v>
      </c>
      <c r="I254" t="s">
        <v>19</v>
      </c>
    </row>
    <row r="255" spans="1:9" x14ac:dyDescent="0.3">
      <c r="A255" t="s">
        <v>514</v>
      </c>
      <c r="B255" t="s">
        <v>515</v>
      </c>
      <c r="C255" t="s">
        <v>17</v>
      </c>
      <c r="D255" t="s">
        <v>637</v>
      </c>
      <c r="E255">
        <v>114772.32</v>
      </c>
      <c r="F255" s="7">
        <v>44251</v>
      </c>
      <c r="G255">
        <v>1</v>
      </c>
      <c r="H255" t="s">
        <v>13</v>
      </c>
      <c r="I255" t="s">
        <v>55</v>
      </c>
    </row>
    <row r="256" spans="1:9" x14ac:dyDescent="0.3">
      <c r="A256" t="s">
        <v>517</v>
      </c>
      <c r="B256" t="s">
        <v>518</v>
      </c>
      <c r="C256" t="s">
        <v>17</v>
      </c>
      <c r="D256" t="s">
        <v>25</v>
      </c>
      <c r="E256">
        <v>56253.81</v>
      </c>
      <c r="F256" s="7">
        <v>44421</v>
      </c>
      <c r="G256">
        <v>1</v>
      </c>
      <c r="H256" t="s">
        <v>13</v>
      </c>
      <c r="I256" t="s">
        <v>60</v>
      </c>
    </row>
    <row r="257" spans="1:9" x14ac:dyDescent="0.3">
      <c r="A257" t="s">
        <v>520</v>
      </c>
      <c r="B257" t="s">
        <v>628</v>
      </c>
      <c r="C257" t="s">
        <v>17</v>
      </c>
      <c r="D257" t="s">
        <v>93</v>
      </c>
      <c r="E257">
        <v>51798.25</v>
      </c>
      <c r="F257" s="7">
        <v>43665</v>
      </c>
      <c r="G257">
        <v>1</v>
      </c>
      <c r="H257" t="s">
        <v>13</v>
      </c>
      <c r="I257" t="s">
        <v>30</v>
      </c>
    </row>
    <row r="258" spans="1:9" x14ac:dyDescent="0.3">
      <c r="A258" t="s">
        <v>521</v>
      </c>
      <c r="B258" t="s">
        <v>522</v>
      </c>
      <c r="C258" t="s">
        <v>11</v>
      </c>
      <c r="D258" t="s">
        <v>74</v>
      </c>
      <c r="E258">
        <v>28329.77</v>
      </c>
      <c r="F258" s="7">
        <v>43402</v>
      </c>
      <c r="G258">
        <v>1</v>
      </c>
      <c r="H258" t="s">
        <v>13</v>
      </c>
      <c r="I258" t="s">
        <v>19</v>
      </c>
    </row>
    <row r="259" spans="1:9" x14ac:dyDescent="0.3">
      <c r="A259" t="s">
        <v>523</v>
      </c>
      <c r="B259" t="s">
        <v>629</v>
      </c>
      <c r="C259" t="s">
        <v>17</v>
      </c>
      <c r="D259" t="s">
        <v>25</v>
      </c>
      <c r="E259">
        <v>93964.3</v>
      </c>
      <c r="F259" s="7">
        <v>44454</v>
      </c>
      <c r="G259">
        <v>0.4</v>
      </c>
      <c r="H259" t="s">
        <v>27</v>
      </c>
      <c r="I259" t="s">
        <v>30</v>
      </c>
    </row>
    <row r="260" spans="1:9" x14ac:dyDescent="0.3">
      <c r="A260" t="s">
        <v>524</v>
      </c>
      <c r="B260" t="s">
        <v>525</v>
      </c>
      <c r="C260" t="s">
        <v>11</v>
      </c>
      <c r="D260" t="s">
        <v>18</v>
      </c>
      <c r="E260">
        <v>90884.32</v>
      </c>
      <c r="F260" s="7">
        <v>44039</v>
      </c>
      <c r="G260">
        <v>0.5</v>
      </c>
      <c r="H260" t="s">
        <v>13</v>
      </c>
      <c r="I260" t="s">
        <v>55</v>
      </c>
    </row>
    <row r="261" spans="1:9" x14ac:dyDescent="0.3">
      <c r="A261" t="s">
        <v>526</v>
      </c>
      <c r="B261" t="s">
        <v>527</v>
      </c>
      <c r="C261" t="s">
        <v>11</v>
      </c>
      <c r="D261" t="s">
        <v>22</v>
      </c>
      <c r="E261">
        <v>84742.86</v>
      </c>
      <c r="F261" s="7">
        <v>44098</v>
      </c>
      <c r="G261">
        <v>1</v>
      </c>
      <c r="H261" t="s">
        <v>13</v>
      </c>
      <c r="I261" t="s">
        <v>60</v>
      </c>
    </row>
    <row r="262" spans="1:9" x14ac:dyDescent="0.3">
      <c r="A262" t="s">
        <v>529</v>
      </c>
      <c r="B262" t="s">
        <v>530</v>
      </c>
      <c r="C262" t="s">
        <v>11</v>
      </c>
      <c r="D262" t="s">
        <v>80</v>
      </c>
      <c r="E262">
        <v>80772.92</v>
      </c>
      <c r="F262" s="7">
        <v>44137</v>
      </c>
      <c r="G262">
        <v>1</v>
      </c>
      <c r="H262" t="s">
        <v>59</v>
      </c>
      <c r="I262" t="s">
        <v>14</v>
      </c>
    </row>
    <row r="263" spans="1:9" x14ac:dyDescent="0.3">
      <c r="A263" t="s">
        <v>532</v>
      </c>
      <c r="B263" t="s">
        <v>630</v>
      </c>
      <c r="C263" t="s">
        <v>17</v>
      </c>
      <c r="D263" t="s">
        <v>74</v>
      </c>
      <c r="E263">
        <v>85264.38</v>
      </c>
      <c r="F263" s="7">
        <v>43220</v>
      </c>
      <c r="G263">
        <v>1</v>
      </c>
      <c r="H263" t="s">
        <v>13</v>
      </c>
      <c r="I263" t="s">
        <v>66</v>
      </c>
    </row>
    <row r="264" spans="1:9" x14ac:dyDescent="0.3">
      <c r="A264" t="s">
        <v>534</v>
      </c>
      <c r="B264" t="s">
        <v>535</v>
      </c>
      <c r="C264" t="s">
        <v>11</v>
      </c>
      <c r="D264" t="s">
        <v>74</v>
      </c>
      <c r="F264" s="7">
        <v>43514</v>
      </c>
      <c r="G264">
        <v>1</v>
      </c>
      <c r="H264" t="s">
        <v>13</v>
      </c>
      <c r="I264" t="s">
        <v>55</v>
      </c>
    </row>
    <row r="265" spans="1:9" x14ac:dyDescent="0.3">
      <c r="A265" t="s">
        <v>187</v>
      </c>
      <c r="B265" t="s">
        <v>188</v>
      </c>
      <c r="C265" t="s">
        <v>11</v>
      </c>
      <c r="D265" t="s">
        <v>99</v>
      </c>
      <c r="E265">
        <v>113747.56</v>
      </c>
      <c r="F265" s="7">
        <v>44270</v>
      </c>
      <c r="G265">
        <v>0.7</v>
      </c>
      <c r="H265" t="s">
        <v>59</v>
      </c>
      <c r="I265" t="s">
        <v>55</v>
      </c>
    </row>
    <row r="266" spans="1:9" x14ac:dyDescent="0.3">
      <c r="A266" t="s">
        <v>536</v>
      </c>
      <c r="B266" t="s">
        <v>537</v>
      </c>
      <c r="C266" t="s">
        <v>17</v>
      </c>
      <c r="D266" t="s">
        <v>33</v>
      </c>
      <c r="E266">
        <v>78378.2</v>
      </c>
      <c r="F266" s="7">
        <v>43465</v>
      </c>
      <c r="G266">
        <v>0.4</v>
      </c>
      <c r="H266" t="s">
        <v>13</v>
      </c>
      <c r="I266" t="s">
        <v>14</v>
      </c>
    </row>
    <row r="267" spans="1:9" x14ac:dyDescent="0.3">
      <c r="A267" t="s">
        <v>538</v>
      </c>
      <c r="B267" t="s">
        <v>539</v>
      </c>
      <c r="C267" t="s">
        <v>11</v>
      </c>
      <c r="D267" t="s">
        <v>80</v>
      </c>
      <c r="E267">
        <v>91314.75</v>
      </c>
      <c r="F267" s="7">
        <v>43931</v>
      </c>
      <c r="G267">
        <v>1</v>
      </c>
      <c r="H267" t="s">
        <v>27</v>
      </c>
      <c r="I267" t="s">
        <v>19</v>
      </c>
    </row>
    <row r="268" spans="1:9" x14ac:dyDescent="0.3">
      <c r="A268" t="s">
        <v>250</v>
      </c>
      <c r="B268" t="s">
        <v>631</v>
      </c>
      <c r="C268" t="s">
        <v>11</v>
      </c>
      <c r="D268" t="s">
        <v>99</v>
      </c>
      <c r="E268">
        <v>66572.58</v>
      </c>
      <c r="F268" s="7">
        <v>44193</v>
      </c>
      <c r="G268">
        <v>1</v>
      </c>
      <c r="H268" t="s">
        <v>13</v>
      </c>
      <c r="I268" t="s">
        <v>66</v>
      </c>
    </row>
    <row r="269" spans="1:9" x14ac:dyDescent="0.3">
      <c r="A269" t="s">
        <v>540</v>
      </c>
      <c r="B269" t="s">
        <v>541</v>
      </c>
      <c r="C269" t="s">
        <v>11</v>
      </c>
      <c r="D269" t="s">
        <v>37</v>
      </c>
      <c r="E269">
        <v>30077.45</v>
      </c>
      <c r="F269" s="7">
        <v>43474</v>
      </c>
      <c r="G269">
        <v>1</v>
      </c>
      <c r="H269" t="s">
        <v>13</v>
      </c>
      <c r="I269" t="s">
        <v>35</v>
      </c>
    </row>
    <row r="270" spans="1:9" x14ac:dyDescent="0.3">
      <c r="A270" t="s">
        <v>542</v>
      </c>
      <c r="B270" t="s">
        <v>543</v>
      </c>
      <c r="D270" t="s">
        <v>77</v>
      </c>
      <c r="E270">
        <v>98012.63</v>
      </c>
      <c r="F270" s="7">
        <v>43780</v>
      </c>
      <c r="G270">
        <v>1</v>
      </c>
      <c r="H270" t="s">
        <v>13</v>
      </c>
      <c r="I270" t="s">
        <v>14</v>
      </c>
    </row>
    <row r="271" spans="1:9" x14ac:dyDescent="0.3">
      <c r="A271" t="s">
        <v>544</v>
      </c>
      <c r="B271" t="s">
        <v>170</v>
      </c>
      <c r="C271" t="s">
        <v>11</v>
      </c>
      <c r="D271" t="s">
        <v>74</v>
      </c>
      <c r="E271">
        <v>72876.91</v>
      </c>
      <c r="F271" s="7">
        <v>43837</v>
      </c>
      <c r="G271">
        <v>1</v>
      </c>
      <c r="H271" t="s">
        <v>13</v>
      </c>
      <c r="I271" t="s">
        <v>14</v>
      </c>
    </row>
    <row r="272" spans="1:9" x14ac:dyDescent="0.3">
      <c r="A272" t="s">
        <v>545</v>
      </c>
      <c r="B272" t="s">
        <v>632</v>
      </c>
      <c r="C272" t="s">
        <v>11</v>
      </c>
      <c r="D272" t="s">
        <v>33</v>
      </c>
      <c r="E272">
        <v>92943.89</v>
      </c>
      <c r="F272" s="7">
        <v>44510</v>
      </c>
      <c r="G272">
        <v>1</v>
      </c>
      <c r="H272" t="s">
        <v>13</v>
      </c>
      <c r="I272" t="s">
        <v>30</v>
      </c>
    </row>
    <row r="273" spans="1:9" x14ac:dyDescent="0.3">
      <c r="A273" t="s">
        <v>546</v>
      </c>
      <c r="B273" t="s">
        <v>633</v>
      </c>
      <c r="C273" t="s">
        <v>17</v>
      </c>
      <c r="D273" t="s">
        <v>74</v>
      </c>
      <c r="E273">
        <v>29808.07</v>
      </c>
      <c r="F273" s="7">
        <v>43291</v>
      </c>
      <c r="G273">
        <v>0.3</v>
      </c>
      <c r="H273" t="s">
        <v>59</v>
      </c>
      <c r="I273" t="s">
        <v>30</v>
      </c>
    </row>
    <row r="274" spans="1:9" x14ac:dyDescent="0.3">
      <c r="A274" t="s">
        <v>548</v>
      </c>
      <c r="B274" t="s">
        <v>549</v>
      </c>
      <c r="C274" t="s">
        <v>17</v>
      </c>
      <c r="D274" t="s">
        <v>80</v>
      </c>
      <c r="E274">
        <v>47551.89</v>
      </c>
      <c r="F274" s="7">
        <v>43468</v>
      </c>
      <c r="G274">
        <v>1</v>
      </c>
      <c r="H274" t="s">
        <v>13</v>
      </c>
      <c r="I274" t="s">
        <v>60</v>
      </c>
    </row>
    <row r="275" spans="1:9" x14ac:dyDescent="0.3">
      <c r="A275" t="s">
        <v>157</v>
      </c>
      <c r="B275" t="s">
        <v>634</v>
      </c>
      <c r="C275" t="s">
        <v>17</v>
      </c>
      <c r="D275" t="s">
        <v>43</v>
      </c>
      <c r="E275">
        <v>39700.82</v>
      </c>
      <c r="F275" s="7">
        <v>44203</v>
      </c>
      <c r="G275">
        <v>0.8</v>
      </c>
      <c r="H275" t="s">
        <v>13</v>
      </c>
      <c r="I275" t="s">
        <v>66</v>
      </c>
    </row>
    <row r="276" spans="1:9" x14ac:dyDescent="0.3">
      <c r="A276" t="s">
        <v>550</v>
      </c>
      <c r="B276" t="s">
        <v>635</v>
      </c>
      <c r="C276" t="s">
        <v>17</v>
      </c>
      <c r="D276" t="s">
        <v>99</v>
      </c>
      <c r="E276">
        <v>31089.22</v>
      </c>
      <c r="F276" s="7">
        <v>43776</v>
      </c>
      <c r="G276">
        <v>1</v>
      </c>
      <c r="H276" t="s">
        <v>27</v>
      </c>
      <c r="I276" t="s">
        <v>66</v>
      </c>
    </row>
    <row r="277" spans="1:9" x14ac:dyDescent="0.3">
      <c r="A277" t="s">
        <v>551</v>
      </c>
      <c r="B277" t="s">
        <v>552</v>
      </c>
      <c r="C277" t="s">
        <v>17</v>
      </c>
      <c r="D277" t="s">
        <v>80</v>
      </c>
      <c r="E277">
        <v>78020.39</v>
      </c>
      <c r="F277" s="7">
        <v>43899</v>
      </c>
      <c r="G277">
        <v>1</v>
      </c>
      <c r="H277" t="s">
        <v>13</v>
      </c>
      <c r="I277" t="s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F263-24CC-4614-BD93-4281DA0E59FE}">
  <dimension ref="A1:I277"/>
  <sheetViews>
    <sheetView workbookViewId="0"/>
  </sheetViews>
  <sheetFormatPr defaultRowHeight="18.75" x14ac:dyDescent="0.3"/>
  <cols>
    <col min="1" max="1" width="8.09765625" bestFit="1" customWidth="1"/>
    <col min="2" max="2" width="25.296875" bestFit="1" customWidth="1"/>
    <col min="3" max="3" width="8.3984375" bestFit="1" customWidth="1"/>
    <col min="4" max="4" width="22.19921875" bestFit="1" customWidth="1"/>
    <col min="5" max="5" width="9.8984375" bestFit="1" customWidth="1"/>
    <col min="6" max="6" width="10.59765625" bestFit="1" customWidth="1"/>
    <col min="7" max="7" width="5.19921875" bestFit="1" customWidth="1"/>
    <col min="8" max="8" width="14.296875" bestFit="1" customWidth="1"/>
    <col min="9" max="9" width="20.199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637</v>
      </c>
      <c r="E2">
        <v>120000</v>
      </c>
      <c r="F2" s="7">
        <v>43416</v>
      </c>
      <c r="G2">
        <v>1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98000</v>
      </c>
      <c r="F3" s="7">
        <v>43710</v>
      </c>
      <c r="G3">
        <v>0.9</v>
      </c>
      <c r="H3" t="s">
        <v>13</v>
      </c>
      <c r="I3" t="s">
        <v>19</v>
      </c>
    </row>
    <row r="4" spans="1:9" x14ac:dyDescent="0.3">
      <c r="A4" t="s">
        <v>20</v>
      </c>
      <c r="B4" t="s">
        <v>21</v>
      </c>
      <c r="C4" t="s">
        <v>17</v>
      </c>
      <c r="D4" t="s">
        <v>22</v>
      </c>
      <c r="E4">
        <v>120000</v>
      </c>
      <c r="F4" s="7">
        <v>43902</v>
      </c>
      <c r="G4">
        <v>0.9</v>
      </c>
      <c r="H4" t="s">
        <v>13</v>
      </c>
      <c r="I4" t="s">
        <v>14</v>
      </c>
    </row>
    <row r="5" spans="1:9" x14ac:dyDescent="0.3">
      <c r="A5" t="s">
        <v>23</v>
      </c>
      <c r="B5" t="s">
        <v>24</v>
      </c>
      <c r="C5" t="s">
        <v>17</v>
      </c>
      <c r="D5" t="s">
        <v>25</v>
      </c>
      <c r="E5">
        <v>93128.34</v>
      </c>
      <c r="F5" s="7">
        <v>43164</v>
      </c>
      <c r="G5">
        <v>1</v>
      </c>
      <c r="H5" t="s">
        <v>27</v>
      </c>
      <c r="I5" t="s">
        <v>19</v>
      </c>
    </row>
    <row r="6" spans="1:9" x14ac:dyDescent="0.3">
      <c r="A6" t="s">
        <v>28</v>
      </c>
      <c r="B6" t="s">
        <v>553</v>
      </c>
      <c r="C6" t="s">
        <v>17</v>
      </c>
      <c r="D6" t="s">
        <v>25</v>
      </c>
      <c r="E6">
        <v>57002.02</v>
      </c>
      <c r="F6" s="7">
        <v>43192</v>
      </c>
      <c r="G6">
        <v>0.7</v>
      </c>
      <c r="H6" t="s">
        <v>13</v>
      </c>
      <c r="I6" t="s">
        <v>30</v>
      </c>
    </row>
    <row r="7" spans="1:9" x14ac:dyDescent="0.3">
      <c r="A7" t="s">
        <v>31</v>
      </c>
      <c r="B7" t="s">
        <v>32</v>
      </c>
      <c r="C7" t="s">
        <v>11</v>
      </c>
      <c r="D7" t="s">
        <v>33</v>
      </c>
      <c r="E7">
        <v>118976.16</v>
      </c>
      <c r="F7" s="7">
        <v>44120</v>
      </c>
      <c r="G7">
        <v>1</v>
      </c>
      <c r="H7" t="s">
        <v>13</v>
      </c>
      <c r="I7" t="s">
        <v>35</v>
      </c>
    </row>
    <row r="8" spans="1:9" x14ac:dyDescent="0.3">
      <c r="A8" t="s">
        <v>36</v>
      </c>
      <c r="B8" t="s">
        <v>554</v>
      </c>
      <c r="D8" t="s">
        <v>37</v>
      </c>
      <c r="E8">
        <v>104802.63</v>
      </c>
      <c r="F8" s="7">
        <v>44502</v>
      </c>
      <c r="G8">
        <v>1</v>
      </c>
      <c r="H8" t="s">
        <v>13</v>
      </c>
      <c r="I8" t="s">
        <v>30</v>
      </c>
    </row>
    <row r="9" spans="1:9" x14ac:dyDescent="0.3">
      <c r="A9" t="s">
        <v>38</v>
      </c>
      <c r="B9" t="s">
        <v>39</v>
      </c>
      <c r="C9" t="s">
        <v>17</v>
      </c>
      <c r="D9" t="s">
        <v>40</v>
      </c>
      <c r="E9">
        <v>66017.179999999993</v>
      </c>
      <c r="F9" s="7">
        <v>43643</v>
      </c>
      <c r="G9">
        <v>0.9</v>
      </c>
      <c r="H9" t="s">
        <v>13</v>
      </c>
      <c r="I9" t="s">
        <v>14</v>
      </c>
    </row>
    <row r="10" spans="1:9" x14ac:dyDescent="0.3">
      <c r="A10" t="s">
        <v>41</v>
      </c>
      <c r="B10" t="s">
        <v>42</v>
      </c>
      <c r="C10" t="s">
        <v>11</v>
      </c>
      <c r="D10" t="s">
        <v>43</v>
      </c>
      <c r="E10">
        <v>74279.009999999995</v>
      </c>
      <c r="F10" s="7">
        <v>43466</v>
      </c>
      <c r="G10">
        <v>1</v>
      </c>
      <c r="H10" t="s">
        <v>13</v>
      </c>
      <c r="I10" t="s">
        <v>35</v>
      </c>
    </row>
    <row r="11" spans="1:9" x14ac:dyDescent="0.3">
      <c r="A11" t="s">
        <v>44</v>
      </c>
      <c r="B11" t="s">
        <v>45</v>
      </c>
      <c r="C11" t="s">
        <v>17</v>
      </c>
      <c r="D11" t="s">
        <v>18</v>
      </c>
      <c r="E11">
        <v>68980.52</v>
      </c>
      <c r="F11" s="7">
        <v>43494</v>
      </c>
      <c r="G11">
        <v>0.8</v>
      </c>
      <c r="H11" t="s">
        <v>13</v>
      </c>
      <c r="I11" t="s">
        <v>14</v>
      </c>
    </row>
    <row r="12" spans="1:9" x14ac:dyDescent="0.3">
      <c r="A12" t="s">
        <v>46</v>
      </c>
      <c r="B12" t="s">
        <v>47</v>
      </c>
      <c r="C12" t="s">
        <v>17</v>
      </c>
      <c r="D12" t="s">
        <v>22</v>
      </c>
      <c r="E12">
        <v>42314.39</v>
      </c>
      <c r="F12" s="7">
        <v>44487</v>
      </c>
      <c r="G12">
        <v>1</v>
      </c>
      <c r="H12" t="s">
        <v>27</v>
      </c>
      <c r="I12" t="s">
        <v>14</v>
      </c>
    </row>
    <row r="13" spans="1:9" x14ac:dyDescent="0.3">
      <c r="A13" t="s">
        <v>49</v>
      </c>
      <c r="B13" t="s">
        <v>50</v>
      </c>
      <c r="C13" t="s">
        <v>17</v>
      </c>
      <c r="D13" t="s">
        <v>33</v>
      </c>
      <c r="E13">
        <v>114425.19</v>
      </c>
      <c r="F13" s="7">
        <v>43857</v>
      </c>
      <c r="G13">
        <v>1</v>
      </c>
      <c r="H13" t="s">
        <v>13</v>
      </c>
      <c r="I13" t="s">
        <v>35</v>
      </c>
    </row>
    <row r="14" spans="1:9" x14ac:dyDescent="0.3">
      <c r="A14" t="s">
        <v>52</v>
      </c>
      <c r="B14" t="s">
        <v>53</v>
      </c>
      <c r="C14" t="s">
        <v>17</v>
      </c>
      <c r="D14" t="s">
        <v>18</v>
      </c>
      <c r="E14">
        <v>69192.850000000006</v>
      </c>
      <c r="F14" s="7">
        <v>44305</v>
      </c>
      <c r="G14">
        <v>1</v>
      </c>
      <c r="H14" t="s">
        <v>13</v>
      </c>
      <c r="I14" t="s">
        <v>55</v>
      </c>
    </row>
    <row r="15" spans="1:9" x14ac:dyDescent="0.3">
      <c r="A15" t="s">
        <v>56</v>
      </c>
      <c r="B15" t="s">
        <v>57</v>
      </c>
      <c r="C15" t="s">
        <v>11</v>
      </c>
      <c r="D15" t="s">
        <v>37</v>
      </c>
      <c r="E15">
        <v>61214.26</v>
      </c>
      <c r="F15" s="7">
        <v>43171</v>
      </c>
      <c r="G15">
        <v>1</v>
      </c>
      <c r="H15" t="s">
        <v>59</v>
      </c>
      <c r="I15" t="s">
        <v>60</v>
      </c>
    </row>
    <row r="16" spans="1:9" x14ac:dyDescent="0.3">
      <c r="A16" t="s">
        <v>61</v>
      </c>
      <c r="B16" t="s">
        <v>62</v>
      </c>
      <c r="C16" t="s">
        <v>11</v>
      </c>
      <c r="D16" t="s">
        <v>37</v>
      </c>
      <c r="E16">
        <v>54137.05</v>
      </c>
      <c r="F16" s="7">
        <v>43763</v>
      </c>
      <c r="G16">
        <v>1</v>
      </c>
      <c r="H16" t="s">
        <v>13</v>
      </c>
      <c r="I16" t="s">
        <v>14</v>
      </c>
    </row>
    <row r="17" spans="1:9" x14ac:dyDescent="0.3">
      <c r="A17" t="s">
        <v>64</v>
      </c>
      <c r="B17" t="s">
        <v>555</v>
      </c>
      <c r="C17" t="s">
        <v>17</v>
      </c>
      <c r="D17" t="s">
        <v>25</v>
      </c>
      <c r="E17">
        <v>37902.35</v>
      </c>
      <c r="F17" s="7">
        <v>43823</v>
      </c>
      <c r="G17">
        <v>1</v>
      </c>
      <c r="H17" t="s">
        <v>13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33</v>
      </c>
      <c r="E18">
        <v>39969.72</v>
      </c>
      <c r="F18" s="7">
        <v>43444</v>
      </c>
      <c r="G18">
        <v>1</v>
      </c>
      <c r="H18" t="s">
        <v>59</v>
      </c>
      <c r="I18" t="s">
        <v>55</v>
      </c>
    </row>
    <row r="19" spans="1:9" x14ac:dyDescent="0.3">
      <c r="A19" t="s">
        <v>70</v>
      </c>
      <c r="B19" t="s">
        <v>71</v>
      </c>
      <c r="C19" t="s">
        <v>11</v>
      </c>
      <c r="D19" t="s">
        <v>22</v>
      </c>
      <c r="E19">
        <v>69913.39</v>
      </c>
      <c r="F19" s="7">
        <v>43584</v>
      </c>
      <c r="G19">
        <v>1</v>
      </c>
      <c r="H19" t="s">
        <v>13</v>
      </c>
      <c r="I19" t="s">
        <v>14</v>
      </c>
    </row>
    <row r="20" spans="1:9" x14ac:dyDescent="0.3">
      <c r="A20" t="s">
        <v>72</v>
      </c>
      <c r="B20" t="s">
        <v>556</v>
      </c>
      <c r="C20" t="s">
        <v>11</v>
      </c>
      <c r="D20" t="s">
        <v>43</v>
      </c>
      <c r="E20">
        <v>52748.63</v>
      </c>
      <c r="F20" s="7">
        <v>43857</v>
      </c>
      <c r="G20">
        <v>1</v>
      </c>
      <c r="H20" t="s">
        <v>13</v>
      </c>
      <c r="I20" t="s">
        <v>66</v>
      </c>
    </row>
    <row r="21" spans="1:9" x14ac:dyDescent="0.3">
      <c r="A21" t="s">
        <v>73</v>
      </c>
      <c r="B21" t="s">
        <v>557</v>
      </c>
      <c r="C21" t="s">
        <v>11</v>
      </c>
      <c r="D21" t="s">
        <v>74</v>
      </c>
      <c r="E21">
        <v>50310.09</v>
      </c>
      <c r="F21" s="7">
        <v>44285</v>
      </c>
      <c r="G21">
        <v>0.4</v>
      </c>
      <c r="H21" t="s">
        <v>13</v>
      </c>
      <c r="I21" t="s">
        <v>30</v>
      </c>
    </row>
    <row r="22" spans="1:9" x14ac:dyDescent="0.3">
      <c r="A22" t="s">
        <v>75</v>
      </c>
      <c r="B22" t="s">
        <v>76</v>
      </c>
      <c r="C22" t="s">
        <v>11</v>
      </c>
      <c r="D22" t="s">
        <v>77</v>
      </c>
      <c r="E22">
        <v>52963.65</v>
      </c>
      <c r="F22" s="7">
        <v>44288</v>
      </c>
      <c r="G22">
        <v>0.3</v>
      </c>
      <c r="H22" t="s">
        <v>13</v>
      </c>
      <c r="I22" t="s">
        <v>55</v>
      </c>
    </row>
    <row r="23" spans="1:9" x14ac:dyDescent="0.3">
      <c r="A23" t="s">
        <v>78</v>
      </c>
      <c r="B23" t="s">
        <v>79</v>
      </c>
      <c r="C23" t="s">
        <v>11</v>
      </c>
      <c r="D23" t="s">
        <v>80</v>
      </c>
      <c r="E23">
        <v>62195.47</v>
      </c>
      <c r="F23" s="7">
        <v>44434</v>
      </c>
      <c r="G23">
        <v>1</v>
      </c>
      <c r="H23" t="s">
        <v>13</v>
      </c>
      <c r="I23" t="s">
        <v>14</v>
      </c>
    </row>
    <row r="24" spans="1:9" x14ac:dyDescent="0.3">
      <c r="A24" t="s">
        <v>82</v>
      </c>
      <c r="B24" t="s">
        <v>83</v>
      </c>
      <c r="C24" t="s">
        <v>11</v>
      </c>
      <c r="D24" t="s">
        <v>33</v>
      </c>
      <c r="E24">
        <v>43329.22</v>
      </c>
      <c r="F24" s="7">
        <v>43809</v>
      </c>
      <c r="G24">
        <v>0.5</v>
      </c>
      <c r="H24" t="s">
        <v>27</v>
      </c>
      <c r="I24" t="s">
        <v>14</v>
      </c>
    </row>
    <row r="25" spans="1:9" x14ac:dyDescent="0.3">
      <c r="A25" t="s">
        <v>84</v>
      </c>
      <c r="B25" t="s">
        <v>558</v>
      </c>
      <c r="C25" t="s">
        <v>17</v>
      </c>
      <c r="D25" t="s">
        <v>25</v>
      </c>
      <c r="E25">
        <v>71570.990000000005</v>
      </c>
      <c r="F25" s="7">
        <v>44249</v>
      </c>
      <c r="G25">
        <v>0.5</v>
      </c>
      <c r="H25" t="s">
        <v>13</v>
      </c>
      <c r="I25" t="s">
        <v>30</v>
      </c>
    </row>
    <row r="26" spans="1:9" x14ac:dyDescent="0.3">
      <c r="A26" t="s">
        <v>86</v>
      </c>
      <c r="B26" t="s">
        <v>87</v>
      </c>
      <c r="D26" t="s">
        <v>25</v>
      </c>
      <c r="E26">
        <v>78840.23</v>
      </c>
      <c r="F26" s="7">
        <v>43633</v>
      </c>
      <c r="G26">
        <v>1</v>
      </c>
      <c r="H26" t="s">
        <v>59</v>
      </c>
      <c r="I26" t="s">
        <v>14</v>
      </c>
    </row>
    <row r="27" spans="1:9" x14ac:dyDescent="0.3">
      <c r="A27" t="s">
        <v>88</v>
      </c>
      <c r="B27" t="s">
        <v>559</v>
      </c>
      <c r="C27" t="s">
        <v>17</v>
      </c>
      <c r="D27" t="s">
        <v>74</v>
      </c>
      <c r="E27">
        <v>61994.76</v>
      </c>
      <c r="F27" s="7">
        <v>43794</v>
      </c>
      <c r="G27">
        <v>0.3</v>
      </c>
      <c r="H27" t="s">
        <v>13</v>
      </c>
      <c r="I27" t="s">
        <v>30</v>
      </c>
    </row>
    <row r="28" spans="1:9" x14ac:dyDescent="0.3">
      <c r="A28" t="s">
        <v>89</v>
      </c>
      <c r="B28" t="s">
        <v>90</v>
      </c>
      <c r="C28" t="s">
        <v>17</v>
      </c>
      <c r="D28" t="s">
        <v>22</v>
      </c>
      <c r="E28">
        <v>89690.38</v>
      </c>
      <c r="F28" s="7">
        <v>43206</v>
      </c>
      <c r="G28">
        <v>1</v>
      </c>
      <c r="H28" t="s">
        <v>13</v>
      </c>
      <c r="I28" t="s">
        <v>35</v>
      </c>
    </row>
    <row r="29" spans="1:9" x14ac:dyDescent="0.3">
      <c r="A29" t="s">
        <v>91</v>
      </c>
      <c r="B29" t="s">
        <v>92</v>
      </c>
      <c r="C29" t="s">
        <v>11</v>
      </c>
      <c r="D29" t="s">
        <v>93</v>
      </c>
      <c r="E29">
        <v>104335.03999999999</v>
      </c>
      <c r="F29" s="7">
        <v>43874</v>
      </c>
      <c r="G29">
        <v>1</v>
      </c>
      <c r="H29" t="s">
        <v>13</v>
      </c>
      <c r="I29" t="s">
        <v>55</v>
      </c>
    </row>
    <row r="30" spans="1:9" x14ac:dyDescent="0.3">
      <c r="A30" t="s">
        <v>94</v>
      </c>
      <c r="B30" t="s">
        <v>95</v>
      </c>
      <c r="C30" t="s">
        <v>11</v>
      </c>
      <c r="D30" t="s">
        <v>77</v>
      </c>
      <c r="E30">
        <v>52246.29</v>
      </c>
      <c r="F30" s="7">
        <v>43573</v>
      </c>
      <c r="G30">
        <v>1</v>
      </c>
      <c r="H30" t="s">
        <v>59</v>
      </c>
      <c r="I30" t="s">
        <v>35</v>
      </c>
    </row>
    <row r="31" spans="1:9" x14ac:dyDescent="0.3">
      <c r="A31" t="s">
        <v>97</v>
      </c>
      <c r="B31" t="s">
        <v>98</v>
      </c>
      <c r="C31" t="s">
        <v>11</v>
      </c>
      <c r="D31" t="s">
        <v>99</v>
      </c>
      <c r="E31">
        <v>90697.67</v>
      </c>
      <c r="F31" s="7">
        <v>44221</v>
      </c>
      <c r="G31">
        <v>0.8</v>
      </c>
      <c r="H31" t="s">
        <v>13</v>
      </c>
      <c r="I31" t="s">
        <v>19</v>
      </c>
    </row>
    <row r="32" spans="1:9" x14ac:dyDescent="0.3">
      <c r="A32" t="s">
        <v>100</v>
      </c>
      <c r="B32" t="s">
        <v>101</v>
      </c>
      <c r="C32" t="s">
        <v>11</v>
      </c>
      <c r="D32" t="s">
        <v>18</v>
      </c>
      <c r="E32">
        <v>90884.32</v>
      </c>
      <c r="F32" s="7">
        <v>43826</v>
      </c>
      <c r="G32">
        <v>1</v>
      </c>
      <c r="H32" t="s">
        <v>13</v>
      </c>
      <c r="I32" t="s">
        <v>55</v>
      </c>
    </row>
    <row r="33" spans="1:9" x14ac:dyDescent="0.3">
      <c r="A33" t="s">
        <v>103</v>
      </c>
      <c r="B33" t="s">
        <v>104</v>
      </c>
      <c r="C33" t="s">
        <v>11</v>
      </c>
      <c r="D33" t="s">
        <v>74</v>
      </c>
      <c r="E33">
        <v>76320.44</v>
      </c>
      <c r="F33" s="7">
        <v>44383</v>
      </c>
      <c r="G33">
        <v>0.8</v>
      </c>
      <c r="H33" t="s">
        <v>59</v>
      </c>
      <c r="I33" t="s">
        <v>14</v>
      </c>
    </row>
    <row r="34" spans="1:9" x14ac:dyDescent="0.3">
      <c r="A34" t="s">
        <v>105</v>
      </c>
      <c r="B34" t="s">
        <v>106</v>
      </c>
      <c r="C34" t="s">
        <v>11</v>
      </c>
      <c r="D34" t="s">
        <v>18</v>
      </c>
      <c r="E34">
        <v>73360.38</v>
      </c>
      <c r="F34" s="7">
        <v>43972</v>
      </c>
      <c r="G34">
        <v>1</v>
      </c>
      <c r="H34" t="s">
        <v>59</v>
      </c>
      <c r="I34" t="s">
        <v>14</v>
      </c>
    </row>
    <row r="35" spans="1:9" x14ac:dyDescent="0.3">
      <c r="A35" t="s">
        <v>107</v>
      </c>
      <c r="B35" t="s">
        <v>108</v>
      </c>
      <c r="C35" t="s">
        <v>11</v>
      </c>
      <c r="D35" t="s">
        <v>637</v>
      </c>
      <c r="F35" s="7">
        <v>44055</v>
      </c>
      <c r="G35">
        <v>0.7</v>
      </c>
      <c r="H35" t="s">
        <v>13</v>
      </c>
      <c r="I35" t="s">
        <v>60</v>
      </c>
    </row>
    <row r="36" spans="1:9" x14ac:dyDescent="0.3">
      <c r="A36" t="s">
        <v>110</v>
      </c>
      <c r="B36" t="s">
        <v>111</v>
      </c>
      <c r="C36" t="s">
        <v>17</v>
      </c>
      <c r="D36" t="s">
        <v>43</v>
      </c>
      <c r="E36">
        <v>50449.46</v>
      </c>
      <c r="F36" s="7">
        <v>43418</v>
      </c>
      <c r="G36">
        <v>0.8</v>
      </c>
      <c r="H36" t="s">
        <v>13</v>
      </c>
      <c r="I36" t="s">
        <v>60</v>
      </c>
    </row>
    <row r="37" spans="1:9" x14ac:dyDescent="0.3">
      <c r="A37" t="s">
        <v>113</v>
      </c>
      <c r="B37" t="s">
        <v>114</v>
      </c>
      <c r="C37" t="s">
        <v>11</v>
      </c>
      <c r="D37" t="s">
        <v>25</v>
      </c>
      <c r="E37">
        <v>53949.26</v>
      </c>
      <c r="F37" s="7">
        <v>43808</v>
      </c>
      <c r="G37">
        <v>1</v>
      </c>
      <c r="H37" t="s">
        <v>59</v>
      </c>
      <c r="I37" t="s">
        <v>55</v>
      </c>
    </row>
    <row r="38" spans="1:9" x14ac:dyDescent="0.3">
      <c r="A38" t="s">
        <v>115</v>
      </c>
      <c r="B38" t="s">
        <v>116</v>
      </c>
      <c r="C38" t="s">
        <v>11</v>
      </c>
      <c r="D38" t="s">
        <v>99</v>
      </c>
      <c r="E38">
        <v>113616.23</v>
      </c>
      <c r="F38" s="7">
        <v>43255</v>
      </c>
      <c r="G38">
        <v>1</v>
      </c>
      <c r="H38" t="s">
        <v>13</v>
      </c>
      <c r="I38" t="s">
        <v>14</v>
      </c>
    </row>
    <row r="39" spans="1:9" x14ac:dyDescent="0.3">
      <c r="A39" t="s">
        <v>117</v>
      </c>
      <c r="B39" t="s">
        <v>118</v>
      </c>
      <c r="C39" t="s">
        <v>17</v>
      </c>
      <c r="D39" t="s">
        <v>93</v>
      </c>
      <c r="E39">
        <v>110906.35</v>
      </c>
      <c r="F39" s="7">
        <v>43434</v>
      </c>
      <c r="G39">
        <v>1</v>
      </c>
      <c r="H39" t="s">
        <v>59</v>
      </c>
      <c r="I39" t="s">
        <v>35</v>
      </c>
    </row>
    <row r="40" spans="1:9" x14ac:dyDescent="0.3">
      <c r="A40" t="s">
        <v>120</v>
      </c>
      <c r="B40" t="s">
        <v>121</v>
      </c>
      <c r="C40" t="s">
        <v>17</v>
      </c>
      <c r="D40" t="s">
        <v>37</v>
      </c>
      <c r="E40">
        <v>100371.31</v>
      </c>
      <c r="F40" s="7">
        <v>44067</v>
      </c>
      <c r="G40">
        <v>0.8</v>
      </c>
      <c r="H40" t="s">
        <v>27</v>
      </c>
      <c r="I40" t="s">
        <v>60</v>
      </c>
    </row>
    <row r="41" spans="1:9" x14ac:dyDescent="0.3">
      <c r="A41" t="s">
        <v>122</v>
      </c>
      <c r="B41" t="s">
        <v>123</v>
      </c>
      <c r="C41" t="s">
        <v>17</v>
      </c>
      <c r="D41" t="s">
        <v>77</v>
      </c>
      <c r="E41">
        <v>69163.39</v>
      </c>
      <c r="F41" s="7">
        <v>43397</v>
      </c>
      <c r="G41">
        <v>1</v>
      </c>
      <c r="H41" t="s">
        <v>13</v>
      </c>
      <c r="I41" t="s">
        <v>14</v>
      </c>
    </row>
    <row r="42" spans="1:9" x14ac:dyDescent="0.3">
      <c r="A42" t="s">
        <v>124</v>
      </c>
      <c r="B42" t="s">
        <v>125</v>
      </c>
      <c r="C42" t="s">
        <v>11</v>
      </c>
      <c r="D42" t="s">
        <v>25</v>
      </c>
      <c r="E42">
        <v>114691.03</v>
      </c>
      <c r="F42" s="7">
        <v>44039</v>
      </c>
      <c r="G42">
        <v>1</v>
      </c>
      <c r="H42" t="s">
        <v>59</v>
      </c>
      <c r="I42" t="s">
        <v>35</v>
      </c>
    </row>
    <row r="43" spans="1:9" x14ac:dyDescent="0.3">
      <c r="A43" t="s">
        <v>127</v>
      </c>
      <c r="B43" t="s">
        <v>560</v>
      </c>
      <c r="C43" t="s">
        <v>11</v>
      </c>
      <c r="D43" t="s">
        <v>74</v>
      </c>
      <c r="E43">
        <v>86556.96</v>
      </c>
      <c r="F43" s="7">
        <v>44104</v>
      </c>
      <c r="G43">
        <v>1</v>
      </c>
      <c r="H43" t="s">
        <v>13</v>
      </c>
      <c r="I43" t="s">
        <v>30</v>
      </c>
    </row>
    <row r="44" spans="1:9" x14ac:dyDescent="0.3">
      <c r="A44" t="s">
        <v>129</v>
      </c>
      <c r="B44" t="s">
        <v>130</v>
      </c>
      <c r="C44" t="s">
        <v>17</v>
      </c>
      <c r="D44" t="s">
        <v>22</v>
      </c>
      <c r="E44">
        <v>31172.77</v>
      </c>
      <c r="F44" s="7">
        <v>43665</v>
      </c>
      <c r="G44">
        <v>1</v>
      </c>
      <c r="H44" t="s">
        <v>27</v>
      </c>
      <c r="I44" t="s">
        <v>14</v>
      </c>
    </row>
    <row r="45" spans="1:9" x14ac:dyDescent="0.3">
      <c r="A45" t="s">
        <v>132</v>
      </c>
      <c r="B45" t="s">
        <v>133</v>
      </c>
      <c r="C45" t="s">
        <v>11</v>
      </c>
      <c r="D45" t="s">
        <v>18</v>
      </c>
      <c r="E45">
        <v>80169.42</v>
      </c>
      <c r="F45" s="7">
        <v>44053</v>
      </c>
      <c r="G45">
        <v>1</v>
      </c>
      <c r="H45" t="s">
        <v>13</v>
      </c>
      <c r="I45" t="s">
        <v>60</v>
      </c>
    </row>
    <row r="46" spans="1:9" x14ac:dyDescent="0.3">
      <c r="A46" t="s">
        <v>113</v>
      </c>
      <c r="B46" t="s">
        <v>114</v>
      </c>
      <c r="C46" t="s">
        <v>11</v>
      </c>
      <c r="D46" t="s">
        <v>25</v>
      </c>
      <c r="E46">
        <v>53949.26</v>
      </c>
      <c r="F46" s="7">
        <v>43808</v>
      </c>
      <c r="G46">
        <v>1</v>
      </c>
      <c r="H46" t="s">
        <v>59</v>
      </c>
      <c r="I46" t="s">
        <v>55</v>
      </c>
    </row>
    <row r="47" spans="1:9" x14ac:dyDescent="0.3">
      <c r="A47" t="s">
        <v>135</v>
      </c>
      <c r="B47" t="s">
        <v>561</v>
      </c>
      <c r="C47" t="s">
        <v>17</v>
      </c>
      <c r="D47" t="s">
        <v>37</v>
      </c>
      <c r="E47">
        <v>58935.92</v>
      </c>
      <c r="F47" s="7">
        <v>43717</v>
      </c>
      <c r="G47">
        <v>1</v>
      </c>
      <c r="H47" t="s">
        <v>59</v>
      </c>
      <c r="I47" t="s">
        <v>30</v>
      </c>
    </row>
    <row r="48" spans="1:9" x14ac:dyDescent="0.3">
      <c r="A48" t="s">
        <v>137</v>
      </c>
      <c r="B48" t="s">
        <v>562</v>
      </c>
      <c r="C48" t="s">
        <v>17</v>
      </c>
      <c r="D48" t="s">
        <v>37</v>
      </c>
      <c r="E48">
        <v>63555.73</v>
      </c>
      <c r="F48" s="7">
        <v>44159</v>
      </c>
      <c r="G48">
        <v>1</v>
      </c>
      <c r="H48" t="s">
        <v>13</v>
      </c>
      <c r="I48" t="s">
        <v>66</v>
      </c>
    </row>
    <row r="49" spans="1:9" x14ac:dyDescent="0.3">
      <c r="A49" t="s">
        <v>139</v>
      </c>
      <c r="B49" t="s">
        <v>140</v>
      </c>
      <c r="C49" t="s">
        <v>11</v>
      </c>
      <c r="D49" t="s">
        <v>77</v>
      </c>
      <c r="E49">
        <v>57419.35</v>
      </c>
      <c r="F49" s="7">
        <v>43305</v>
      </c>
      <c r="G49">
        <v>1</v>
      </c>
      <c r="H49" t="s">
        <v>27</v>
      </c>
      <c r="I49" t="s">
        <v>60</v>
      </c>
    </row>
    <row r="50" spans="1:9" x14ac:dyDescent="0.3">
      <c r="A50" t="s">
        <v>141</v>
      </c>
      <c r="B50" t="s">
        <v>142</v>
      </c>
      <c r="C50" t="s">
        <v>17</v>
      </c>
      <c r="D50" t="s">
        <v>93</v>
      </c>
      <c r="E50">
        <v>67818.14</v>
      </c>
      <c r="F50" s="7">
        <v>43406</v>
      </c>
      <c r="G50">
        <v>0.6</v>
      </c>
      <c r="H50" t="s">
        <v>27</v>
      </c>
      <c r="I50" t="s">
        <v>14</v>
      </c>
    </row>
    <row r="51" spans="1:9" x14ac:dyDescent="0.3">
      <c r="A51" t="s">
        <v>144</v>
      </c>
      <c r="B51" t="s">
        <v>563</v>
      </c>
      <c r="C51" t="s">
        <v>17</v>
      </c>
      <c r="D51" t="s">
        <v>637</v>
      </c>
      <c r="E51">
        <v>44403.77</v>
      </c>
      <c r="F51" s="7">
        <v>43416</v>
      </c>
      <c r="G51">
        <v>1</v>
      </c>
      <c r="H51" t="s">
        <v>13</v>
      </c>
      <c r="I51" t="s">
        <v>30</v>
      </c>
    </row>
    <row r="52" spans="1:9" x14ac:dyDescent="0.3">
      <c r="A52" t="s">
        <v>145</v>
      </c>
      <c r="B52" t="s">
        <v>146</v>
      </c>
      <c r="C52" t="s">
        <v>11</v>
      </c>
      <c r="D52" t="s">
        <v>40</v>
      </c>
      <c r="E52">
        <v>40753.54</v>
      </c>
      <c r="F52" s="7">
        <v>43152</v>
      </c>
      <c r="G52">
        <v>0.6</v>
      </c>
      <c r="H52" t="s">
        <v>13</v>
      </c>
      <c r="I52" t="s">
        <v>35</v>
      </c>
    </row>
    <row r="53" spans="1:9" x14ac:dyDescent="0.3">
      <c r="A53" t="s">
        <v>147</v>
      </c>
      <c r="B53" t="s">
        <v>564</v>
      </c>
      <c r="C53" t="s">
        <v>17</v>
      </c>
      <c r="D53" t="s">
        <v>25</v>
      </c>
      <c r="E53">
        <v>102934.09</v>
      </c>
      <c r="F53" s="7">
        <v>44315</v>
      </c>
      <c r="G53">
        <v>1</v>
      </c>
      <c r="H53" t="s">
        <v>13</v>
      </c>
      <c r="I53" t="s">
        <v>30</v>
      </c>
    </row>
    <row r="54" spans="1:9" x14ac:dyDescent="0.3">
      <c r="A54" t="s">
        <v>149</v>
      </c>
      <c r="B54" t="s">
        <v>150</v>
      </c>
      <c r="C54" t="s">
        <v>11</v>
      </c>
      <c r="D54" t="s">
        <v>80</v>
      </c>
      <c r="E54">
        <v>68860.399999999994</v>
      </c>
      <c r="F54" s="7">
        <v>43508</v>
      </c>
      <c r="G54">
        <v>0.4</v>
      </c>
      <c r="H54" t="s">
        <v>13</v>
      </c>
      <c r="I54" t="s">
        <v>55</v>
      </c>
    </row>
    <row r="55" spans="1:9" x14ac:dyDescent="0.3">
      <c r="A55" t="s">
        <v>151</v>
      </c>
      <c r="B55" t="s">
        <v>565</v>
      </c>
      <c r="C55" t="s">
        <v>11</v>
      </c>
      <c r="D55" t="s">
        <v>25</v>
      </c>
      <c r="E55">
        <v>79567.69</v>
      </c>
      <c r="F55" s="7">
        <v>43272</v>
      </c>
      <c r="G55">
        <v>1</v>
      </c>
      <c r="H55" t="s">
        <v>27</v>
      </c>
      <c r="I55" t="s">
        <v>66</v>
      </c>
    </row>
    <row r="56" spans="1:9" x14ac:dyDescent="0.3">
      <c r="A56" t="s">
        <v>152</v>
      </c>
      <c r="B56" t="s">
        <v>153</v>
      </c>
      <c r="C56" t="s">
        <v>17</v>
      </c>
      <c r="D56" t="s">
        <v>74</v>
      </c>
      <c r="E56">
        <v>35943.620000000003</v>
      </c>
      <c r="F56" s="7">
        <v>44078</v>
      </c>
      <c r="G56">
        <v>1</v>
      </c>
      <c r="H56" t="s">
        <v>13</v>
      </c>
      <c r="I56" t="s">
        <v>55</v>
      </c>
    </row>
    <row r="57" spans="1:9" x14ac:dyDescent="0.3">
      <c r="A57" t="s">
        <v>154</v>
      </c>
      <c r="B57" t="s">
        <v>566</v>
      </c>
      <c r="C57" t="s">
        <v>17</v>
      </c>
      <c r="D57" t="s">
        <v>25</v>
      </c>
      <c r="E57">
        <v>116767.63</v>
      </c>
      <c r="F57" s="7">
        <v>43949</v>
      </c>
      <c r="G57">
        <v>0.4</v>
      </c>
      <c r="H57" t="s">
        <v>59</v>
      </c>
      <c r="I57" t="s">
        <v>66</v>
      </c>
    </row>
    <row r="58" spans="1:9" x14ac:dyDescent="0.3">
      <c r="A58" t="s">
        <v>155</v>
      </c>
      <c r="B58" t="s">
        <v>156</v>
      </c>
      <c r="C58" t="s">
        <v>11</v>
      </c>
      <c r="D58" t="s">
        <v>43</v>
      </c>
      <c r="E58">
        <v>85455.53</v>
      </c>
      <c r="F58" s="7">
        <v>43839</v>
      </c>
      <c r="G58">
        <v>1</v>
      </c>
      <c r="H58" t="s">
        <v>13</v>
      </c>
      <c r="I58" t="s">
        <v>35</v>
      </c>
    </row>
    <row r="59" spans="1:9" x14ac:dyDescent="0.3">
      <c r="A59" t="s">
        <v>157</v>
      </c>
      <c r="B59" t="s">
        <v>567</v>
      </c>
      <c r="C59" t="s">
        <v>17</v>
      </c>
      <c r="D59" t="s">
        <v>43</v>
      </c>
      <c r="E59">
        <v>39700.82</v>
      </c>
      <c r="F59" s="7">
        <v>44203</v>
      </c>
      <c r="G59">
        <v>0.8</v>
      </c>
      <c r="H59" t="s">
        <v>13</v>
      </c>
      <c r="I59" t="s">
        <v>66</v>
      </c>
    </row>
    <row r="60" spans="1:9" x14ac:dyDescent="0.3">
      <c r="A60" t="s">
        <v>158</v>
      </c>
      <c r="B60" t="s">
        <v>568</v>
      </c>
      <c r="C60" t="s">
        <v>17</v>
      </c>
      <c r="D60" t="s">
        <v>93</v>
      </c>
      <c r="E60">
        <v>38438.239999999998</v>
      </c>
      <c r="F60" s="7">
        <v>43962</v>
      </c>
      <c r="G60">
        <v>1</v>
      </c>
      <c r="H60" t="s">
        <v>13</v>
      </c>
      <c r="I60" t="s">
        <v>66</v>
      </c>
    </row>
    <row r="61" spans="1:9" x14ac:dyDescent="0.3">
      <c r="A61" t="s">
        <v>160</v>
      </c>
      <c r="B61" t="s">
        <v>161</v>
      </c>
      <c r="C61" t="s">
        <v>11</v>
      </c>
      <c r="D61" t="s">
        <v>33</v>
      </c>
      <c r="E61">
        <v>50855.53</v>
      </c>
      <c r="F61" s="7">
        <v>44221</v>
      </c>
      <c r="G61">
        <v>1</v>
      </c>
      <c r="H61" t="s">
        <v>13</v>
      </c>
      <c r="I61" t="s">
        <v>35</v>
      </c>
    </row>
    <row r="62" spans="1:9" x14ac:dyDescent="0.3">
      <c r="A62" t="s">
        <v>163</v>
      </c>
      <c r="B62" t="s">
        <v>164</v>
      </c>
      <c r="C62" t="s">
        <v>11</v>
      </c>
      <c r="D62" t="s">
        <v>37</v>
      </c>
      <c r="E62">
        <v>0</v>
      </c>
      <c r="F62" s="7">
        <v>43724</v>
      </c>
      <c r="G62">
        <v>0.2</v>
      </c>
      <c r="H62" t="s">
        <v>13</v>
      </c>
      <c r="I62" t="s">
        <v>60</v>
      </c>
    </row>
    <row r="63" spans="1:9" x14ac:dyDescent="0.3">
      <c r="A63" t="s">
        <v>166</v>
      </c>
      <c r="B63" t="s">
        <v>167</v>
      </c>
      <c r="C63" t="s">
        <v>11</v>
      </c>
      <c r="D63" t="s">
        <v>40</v>
      </c>
      <c r="E63">
        <v>37362.300000000003</v>
      </c>
      <c r="F63" s="7">
        <v>43642</v>
      </c>
      <c r="G63">
        <v>1</v>
      </c>
      <c r="H63" t="s">
        <v>13</v>
      </c>
      <c r="I63" t="s">
        <v>60</v>
      </c>
    </row>
    <row r="64" spans="1:9" x14ac:dyDescent="0.3">
      <c r="A64" t="s">
        <v>169</v>
      </c>
      <c r="B64" t="s">
        <v>170</v>
      </c>
      <c r="C64" t="s">
        <v>11</v>
      </c>
      <c r="D64" t="s">
        <v>74</v>
      </c>
      <c r="E64">
        <v>72876.91</v>
      </c>
      <c r="F64" s="7">
        <v>43612</v>
      </c>
      <c r="G64">
        <v>0.4</v>
      </c>
      <c r="H64" t="s">
        <v>27</v>
      </c>
      <c r="I64" t="s">
        <v>60</v>
      </c>
    </row>
    <row r="65" spans="1:9" x14ac:dyDescent="0.3">
      <c r="A65" t="s">
        <v>172</v>
      </c>
      <c r="B65" t="s">
        <v>173</v>
      </c>
      <c r="C65" t="s">
        <v>17</v>
      </c>
      <c r="D65" t="s">
        <v>99</v>
      </c>
      <c r="E65">
        <v>31042.51</v>
      </c>
      <c r="F65" s="7">
        <v>44473</v>
      </c>
      <c r="G65">
        <v>0.3</v>
      </c>
      <c r="H65" t="s">
        <v>27</v>
      </c>
      <c r="I65" t="s">
        <v>14</v>
      </c>
    </row>
    <row r="66" spans="1:9" x14ac:dyDescent="0.3">
      <c r="A66" t="s">
        <v>174</v>
      </c>
      <c r="B66" t="s">
        <v>569</v>
      </c>
      <c r="C66" t="s">
        <v>17</v>
      </c>
      <c r="D66" t="s">
        <v>99</v>
      </c>
      <c r="E66">
        <v>63705.4</v>
      </c>
      <c r="F66" s="7">
        <v>43682</v>
      </c>
      <c r="G66">
        <v>1</v>
      </c>
      <c r="H66" t="s">
        <v>13</v>
      </c>
      <c r="I66" t="s">
        <v>30</v>
      </c>
    </row>
    <row r="67" spans="1:9" x14ac:dyDescent="0.3">
      <c r="A67" t="s">
        <v>175</v>
      </c>
      <c r="B67" t="s">
        <v>176</v>
      </c>
      <c r="C67" t="s">
        <v>17</v>
      </c>
      <c r="D67" t="s">
        <v>43</v>
      </c>
      <c r="E67">
        <v>59434.18</v>
      </c>
      <c r="F67" s="7">
        <v>43931</v>
      </c>
      <c r="G67">
        <v>1</v>
      </c>
      <c r="H67" t="s">
        <v>59</v>
      </c>
      <c r="I67" t="s">
        <v>19</v>
      </c>
    </row>
    <row r="68" spans="1:9" x14ac:dyDescent="0.3">
      <c r="A68" t="s">
        <v>178</v>
      </c>
      <c r="B68" t="s">
        <v>570</v>
      </c>
      <c r="C68" t="s">
        <v>17</v>
      </c>
      <c r="D68" t="s">
        <v>80</v>
      </c>
      <c r="E68">
        <v>84762.76</v>
      </c>
      <c r="F68" s="7">
        <v>43332</v>
      </c>
      <c r="G68">
        <v>1</v>
      </c>
      <c r="H68" t="s">
        <v>13</v>
      </c>
      <c r="I68" t="s">
        <v>30</v>
      </c>
    </row>
    <row r="69" spans="1:9" x14ac:dyDescent="0.3">
      <c r="A69" t="s">
        <v>179</v>
      </c>
      <c r="B69" t="s">
        <v>180</v>
      </c>
      <c r="C69" t="s">
        <v>17</v>
      </c>
      <c r="D69" t="s">
        <v>22</v>
      </c>
      <c r="E69">
        <v>69057.320000000007</v>
      </c>
      <c r="F69" s="7">
        <v>43390</v>
      </c>
      <c r="G69">
        <v>1</v>
      </c>
      <c r="H69" t="s">
        <v>13</v>
      </c>
      <c r="I69" t="s">
        <v>35</v>
      </c>
    </row>
    <row r="70" spans="1:9" x14ac:dyDescent="0.3">
      <c r="A70" t="s">
        <v>181</v>
      </c>
      <c r="B70" t="s">
        <v>182</v>
      </c>
      <c r="D70" t="s">
        <v>74</v>
      </c>
      <c r="E70">
        <v>99448.78</v>
      </c>
      <c r="F70" s="7">
        <v>43473</v>
      </c>
      <c r="G70">
        <v>1</v>
      </c>
      <c r="H70" t="s">
        <v>27</v>
      </c>
      <c r="I70" t="s">
        <v>35</v>
      </c>
    </row>
    <row r="71" spans="1:9" x14ac:dyDescent="0.3">
      <c r="A71" t="s">
        <v>184</v>
      </c>
      <c r="B71" t="s">
        <v>185</v>
      </c>
      <c r="C71" t="s">
        <v>17</v>
      </c>
      <c r="D71" t="s">
        <v>93</v>
      </c>
      <c r="E71">
        <v>66865.490000000005</v>
      </c>
      <c r="F71" s="7">
        <v>43514</v>
      </c>
      <c r="G71">
        <v>1</v>
      </c>
      <c r="H71" t="s">
        <v>13</v>
      </c>
      <c r="I71" t="s">
        <v>19</v>
      </c>
    </row>
    <row r="72" spans="1:9" x14ac:dyDescent="0.3">
      <c r="A72" t="s">
        <v>187</v>
      </c>
      <c r="B72" t="s">
        <v>188</v>
      </c>
      <c r="C72" t="s">
        <v>11</v>
      </c>
      <c r="D72" t="s">
        <v>99</v>
      </c>
      <c r="E72">
        <v>113747.56</v>
      </c>
      <c r="F72" s="7">
        <v>44270</v>
      </c>
      <c r="G72">
        <v>0.7</v>
      </c>
      <c r="H72" t="s">
        <v>59</v>
      </c>
      <c r="I72" t="s">
        <v>55</v>
      </c>
    </row>
    <row r="73" spans="1:9" x14ac:dyDescent="0.3">
      <c r="A73" t="s">
        <v>190</v>
      </c>
      <c r="B73" t="s">
        <v>191</v>
      </c>
      <c r="C73" t="s">
        <v>11</v>
      </c>
      <c r="D73" t="s">
        <v>18</v>
      </c>
      <c r="E73">
        <v>85918.61</v>
      </c>
      <c r="F73" s="7">
        <v>43136</v>
      </c>
      <c r="G73">
        <v>1</v>
      </c>
      <c r="H73" t="s">
        <v>13</v>
      </c>
      <c r="I73" t="s">
        <v>55</v>
      </c>
    </row>
    <row r="74" spans="1:9" x14ac:dyDescent="0.3">
      <c r="A74" t="s">
        <v>193</v>
      </c>
      <c r="B74" t="s">
        <v>571</v>
      </c>
      <c r="C74" t="s">
        <v>17</v>
      </c>
      <c r="D74" t="s">
        <v>637</v>
      </c>
      <c r="E74">
        <v>51165.37</v>
      </c>
      <c r="F74" s="7">
        <v>44237</v>
      </c>
      <c r="G74">
        <v>1</v>
      </c>
      <c r="H74" t="s">
        <v>27</v>
      </c>
      <c r="I74" t="s">
        <v>30</v>
      </c>
    </row>
    <row r="75" spans="1:9" x14ac:dyDescent="0.3">
      <c r="A75" t="s">
        <v>195</v>
      </c>
      <c r="B75" t="s">
        <v>196</v>
      </c>
      <c r="C75" t="s">
        <v>17</v>
      </c>
      <c r="D75" t="s">
        <v>99</v>
      </c>
      <c r="F75" s="7">
        <v>44011</v>
      </c>
      <c r="G75">
        <v>1</v>
      </c>
      <c r="H75" t="s">
        <v>13</v>
      </c>
      <c r="I75" t="s">
        <v>35</v>
      </c>
    </row>
    <row r="76" spans="1:9" x14ac:dyDescent="0.3">
      <c r="A76" t="s">
        <v>197</v>
      </c>
      <c r="B76" t="s">
        <v>572</v>
      </c>
      <c r="D76" t="s">
        <v>74</v>
      </c>
      <c r="E76">
        <v>67957.899999999994</v>
      </c>
      <c r="F76" s="7">
        <v>43430</v>
      </c>
      <c r="G76">
        <v>1</v>
      </c>
      <c r="H76" t="s">
        <v>13</v>
      </c>
      <c r="I76" t="s">
        <v>66</v>
      </c>
    </row>
    <row r="77" spans="1:9" x14ac:dyDescent="0.3">
      <c r="A77" t="s">
        <v>198</v>
      </c>
      <c r="B77" t="s">
        <v>199</v>
      </c>
      <c r="C77" t="s">
        <v>11</v>
      </c>
      <c r="D77" t="s">
        <v>33</v>
      </c>
      <c r="E77">
        <v>114465.93</v>
      </c>
      <c r="F77" s="7">
        <v>43291</v>
      </c>
      <c r="G77">
        <v>1</v>
      </c>
      <c r="H77" t="s">
        <v>59</v>
      </c>
      <c r="I77" t="s">
        <v>35</v>
      </c>
    </row>
    <row r="78" spans="1:9" x14ac:dyDescent="0.3">
      <c r="A78" t="s">
        <v>200</v>
      </c>
      <c r="B78" t="s">
        <v>201</v>
      </c>
      <c r="C78" t="s">
        <v>11</v>
      </c>
      <c r="D78" t="s">
        <v>40</v>
      </c>
      <c r="E78">
        <v>65699.02</v>
      </c>
      <c r="F78" s="7">
        <v>43951</v>
      </c>
      <c r="G78">
        <v>1</v>
      </c>
      <c r="H78" t="s">
        <v>13</v>
      </c>
      <c r="I78" t="s">
        <v>55</v>
      </c>
    </row>
    <row r="79" spans="1:9" x14ac:dyDescent="0.3">
      <c r="A79" t="s">
        <v>203</v>
      </c>
      <c r="B79" t="s">
        <v>204</v>
      </c>
      <c r="C79" t="s">
        <v>11</v>
      </c>
      <c r="D79" t="s">
        <v>80</v>
      </c>
      <c r="E79">
        <v>83191.95</v>
      </c>
      <c r="F79" s="7">
        <v>43700</v>
      </c>
      <c r="G79">
        <v>0.6</v>
      </c>
      <c r="H79" t="s">
        <v>59</v>
      </c>
      <c r="I79" t="s">
        <v>14</v>
      </c>
    </row>
    <row r="80" spans="1:9" x14ac:dyDescent="0.3">
      <c r="A80" t="s">
        <v>205</v>
      </c>
      <c r="B80" t="s">
        <v>573</v>
      </c>
      <c r="C80" t="s">
        <v>11</v>
      </c>
      <c r="D80" t="s">
        <v>93</v>
      </c>
      <c r="E80">
        <v>106775.14</v>
      </c>
      <c r="F80" s="7">
        <v>43563</v>
      </c>
      <c r="G80">
        <v>1</v>
      </c>
      <c r="H80" t="s">
        <v>27</v>
      </c>
      <c r="I80" t="s">
        <v>30</v>
      </c>
    </row>
    <row r="81" spans="1:9" x14ac:dyDescent="0.3">
      <c r="A81" t="s">
        <v>206</v>
      </c>
      <c r="B81" t="s">
        <v>207</v>
      </c>
      <c r="C81" t="s">
        <v>11</v>
      </c>
      <c r="D81" t="s">
        <v>74</v>
      </c>
      <c r="E81">
        <v>83396.5</v>
      </c>
      <c r="F81" s="7">
        <v>44285</v>
      </c>
      <c r="G81">
        <v>1</v>
      </c>
      <c r="H81" t="s">
        <v>59</v>
      </c>
      <c r="I81" t="s">
        <v>60</v>
      </c>
    </row>
    <row r="82" spans="1:9" x14ac:dyDescent="0.3">
      <c r="A82" t="s">
        <v>209</v>
      </c>
      <c r="B82" t="s">
        <v>574</v>
      </c>
      <c r="C82" t="s">
        <v>11</v>
      </c>
      <c r="D82" t="s">
        <v>99</v>
      </c>
      <c r="E82">
        <v>28481.16</v>
      </c>
      <c r="F82" s="7">
        <v>44228</v>
      </c>
      <c r="G82">
        <v>1</v>
      </c>
      <c r="H82" t="s">
        <v>59</v>
      </c>
      <c r="I82" t="s">
        <v>66</v>
      </c>
    </row>
    <row r="83" spans="1:9" x14ac:dyDescent="0.3">
      <c r="A83" t="s">
        <v>211</v>
      </c>
      <c r="B83" t="s">
        <v>575</v>
      </c>
      <c r="C83" t="s">
        <v>11</v>
      </c>
      <c r="D83" t="s">
        <v>80</v>
      </c>
      <c r="E83">
        <v>32192.15</v>
      </c>
      <c r="F83" s="7">
        <v>44473</v>
      </c>
      <c r="G83">
        <v>1</v>
      </c>
      <c r="H83" t="s">
        <v>13</v>
      </c>
      <c r="I83" t="s">
        <v>30</v>
      </c>
    </row>
    <row r="84" spans="1:9" x14ac:dyDescent="0.3">
      <c r="A84" t="s">
        <v>213</v>
      </c>
      <c r="B84" t="s">
        <v>214</v>
      </c>
      <c r="C84" t="s">
        <v>11</v>
      </c>
      <c r="D84" t="s">
        <v>637</v>
      </c>
      <c r="E84">
        <v>112645.99</v>
      </c>
      <c r="F84" s="7">
        <v>43759</v>
      </c>
      <c r="G84">
        <v>0.6</v>
      </c>
      <c r="H84" t="s">
        <v>13</v>
      </c>
      <c r="I84" t="s">
        <v>19</v>
      </c>
    </row>
    <row r="85" spans="1:9" x14ac:dyDescent="0.3">
      <c r="A85" t="s">
        <v>216</v>
      </c>
      <c r="B85" t="s">
        <v>576</v>
      </c>
      <c r="D85" t="s">
        <v>77</v>
      </c>
      <c r="E85">
        <v>107107.6</v>
      </c>
      <c r="F85" s="7">
        <v>43325</v>
      </c>
      <c r="G85">
        <v>0.9</v>
      </c>
      <c r="H85" t="s">
        <v>13</v>
      </c>
      <c r="I85" t="s">
        <v>66</v>
      </c>
    </row>
    <row r="86" spans="1:9" x14ac:dyDescent="0.3">
      <c r="A86" t="s">
        <v>218</v>
      </c>
      <c r="B86" t="s">
        <v>219</v>
      </c>
      <c r="C86" t="s">
        <v>17</v>
      </c>
      <c r="D86" t="s">
        <v>18</v>
      </c>
      <c r="E86">
        <v>80695.740000000005</v>
      </c>
      <c r="F86" s="7">
        <v>43787</v>
      </c>
      <c r="G86">
        <v>0.8</v>
      </c>
      <c r="H86" t="s">
        <v>13</v>
      </c>
      <c r="I86" t="s">
        <v>55</v>
      </c>
    </row>
    <row r="87" spans="1:9" x14ac:dyDescent="0.3">
      <c r="A87" t="s">
        <v>221</v>
      </c>
      <c r="B87" t="s">
        <v>222</v>
      </c>
      <c r="C87" t="s">
        <v>17</v>
      </c>
      <c r="D87" t="s">
        <v>93</v>
      </c>
      <c r="E87">
        <v>75475.929999999993</v>
      </c>
      <c r="F87" s="7">
        <v>43794</v>
      </c>
      <c r="G87">
        <v>1</v>
      </c>
      <c r="H87" t="s">
        <v>13</v>
      </c>
      <c r="I87" t="s">
        <v>14</v>
      </c>
    </row>
    <row r="88" spans="1:9" x14ac:dyDescent="0.3">
      <c r="A88" t="s">
        <v>224</v>
      </c>
      <c r="B88" t="s">
        <v>225</v>
      </c>
      <c r="C88" t="s">
        <v>17</v>
      </c>
      <c r="D88" t="s">
        <v>18</v>
      </c>
      <c r="E88">
        <v>86558.58</v>
      </c>
      <c r="F88" s="7">
        <v>43887</v>
      </c>
      <c r="G88">
        <v>1</v>
      </c>
      <c r="H88" t="s">
        <v>27</v>
      </c>
      <c r="I88" t="s">
        <v>14</v>
      </c>
    </row>
    <row r="89" spans="1:9" x14ac:dyDescent="0.3">
      <c r="A89" t="s">
        <v>227</v>
      </c>
      <c r="B89" t="s">
        <v>228</v>
      </c>
      <c r="C89" t="s">
        <v>17</v>
      </c>
      <c r="D89" t="s">
        <v>43</v>
      </c>
      <c r="E89">
        <v>84309.95</v>
      </c>
      <c r="F89" s="7">
        <v>44501</v>
      </c>
      <c r="G89">
        <v>1</v>
      </c>
      <c r="H89" t="s">
        <v>13</v>
      </c>
      <c r="I89" t="s">
        <v>14</v>
      </c>
    </row>
    <row r="90" spans="1:9" x14ac:dyDescent="0.3">
      <c r="A90" t="s">
        <v>229</v>
      </c>
      <c r="B90" t="s">
        <v>230</v>
      </c>
      <c r="C90" t="s">
        <v>11</v>
      </c>
      <c r="D90" t="s">
        <v>77</v>
      </c>
      <c r="E90">
        <v>91645.04</v>
      </c>
      <c r="F90" s="7">
        <v>44223</v>
      </c>
      <c r="G90">
        <v>1</v>
      </c>
      <c r="H90" t="s">
        <v>13</v>
      </c>
      <c r="I90" t="s">
        <v>60</v>
      </c>
    </row>
    <row r="91" spans="1:9" x14ac:dyDescent="0.3">
      <c r="A91" t="s">
        <v>231</v>
      </c>
      <c r="B91" t="s">
        <v>232</v>
      </c>
      <c r="C91" t="s">
        <v>17</v>
      </c>
      <c r="D91" t="s">
        <v>25</v>
      </c>
      <c r="E91">
        <v>101187.36</v>
      </c>
      <c r="F91" s="7">
        <v>43258</v>
      </c>
      <c r="G91">
        <v>1</v>
      </c>
      <c r="H91" t="s">
        <v>27</v>
      </c>
      <c r="I91" t="s">
        <v>55</v>
      </c>
    </row>
    <row r="92" spans="1:9" x14ac:dyDescent="0.3">
      <c r="A92" t="s">
        <v>132</v>
      </c>
      <c r="B92" t="s">
        <v>133</v>
      </c>
      <c r="C92" t="s">
        <v>11</v>
      </c>
      <c r="D92" t="s">
        <v>18</v>
      </c>
      <c r="E92">
        <v>80169.42</v>
      </c>
      <c r="F92" s="7">
        <v>44053</v>
      </c>
      <c r="G92">
        <v>1</v>
      </c>
      <c r="H92" t="s">
        <v>13</v>
      </c>
      <c r="I92" t="s">
        <v>60</v>
      </c>
    </row>
    <row r="93" spans="1:9" x14ac:dyDescent="0.3">
      <c r="A93" t="s">
        <v>233</v>
      </c>
      <c r="B93" t="s">
        <v>234</v>
      </c>
      <c r="C93" t="s">
        <v>17</v>
      </c>
      <c r="D93" t="s">
        <v>37</v>
      </c>
      <c r="E93">
        <v>104038.9</v>
      </c>
      <c r="F93" s="7">
        <v>43815</v>
      </c>
      <c r="G93">
        <v>1</v>
      </c>
      <c r="H93" t="s">
        <v>27</v>
      </c>
      <c r="I93" t="s">
        <v>14</v>
      </c>
    </row>
    <row r="94" spans="1:9" x14ac:dyDescent="0.3">
      <c r="A94" t="s">
        <v>235</v>
      </c>
      <c r="B94" t="s">
        <v>236</v>
      </c>
      <c r="C94" t="s">
        <v>17</v>
      </c>
      <c r="D94" t="s">
        <v>43</v>
      </c>
      <c r="E94">
        <v>99683.67</v>
      </c>
      <c r="F94" s="7">
        <v>43500</v>
      </c>
      <c r="G94">
        <v>1</v>
      </c>
      <c r="H94" t="s">
        <v>27</v>
      </c>
      <c r="I94" t="s">
        <v>19</v>
      </c>
    </row>
    <row r="95" spans="1:9" x14ac:dyDescent="0.3">
      <c r="A95" t="s">
        <v>238</v>
      </c>
      <c r="B95" t="s">
        <v>239</v>
      </c>
      <c r="C95" t="s">
        <v>11</v>
      </c>
      <c r="D95" t="s">
        <v>33</v>
      </c>
      <c r="E95">
        <v>47362.62</v>
      </c>
      <c r="F95" s="7">
        <v>43973</v>
      </c>
      <c r="G95">
        <v>1</v>
      </c>
      <c r="H95" t="s">
        <v>59</v>
      </c>
      <c r="I95" t="s">
        <v>14</v>
      </c>
    </row>
    <row r="96" spans="1:9" x14ac:dyDescent="0.3">
      <c r="A96" t="s">
        <v>241</v>
      </c>
      <c r="B96" t="s">
        <v>577</v>
      </c>
      <c r="C96" t="s">
        <v>17</v>
      </c>
      <c r="D96" t="s">
        <v>18</v>
      </c>
      <c r="E96">
        <v>70649.460000000006</v>
      </c>
      <c r="F96" s="7">
        <v>43843</v>
      </c>
      <c r="G96">
        <v>1</v>
      </c>
      <c r="H96" t="s">
        <v>13</v>
      </c>
      <c r="I96" t="s">
        <v>30</v>
      </c>
    </row>
    <row r="97" spans="1:9" x14ac:dyDescent="0.3">
      <c r="A97" t="s">
        <v>243</v>
      </c>
      <c r="B97" t="s">
        <v>578</v>
      </c>
      <c r="C97" t="s">
        <v>17</v>
      </c>
      <c r="D97" t="s">
        <v>99</v>
      </c>
      <c r="E97">
        <v>75733.740000000005</v>
      </c>
      <c r="F97" s="7">
        <v>44382</v>
      </c>
      <c r="G97">
        <v>1</v>
      </c>
      <c r="H97" t="s">
        <v>13</v>
      </c>
      <c r="I97" t="s">
        <v>30</v>
      </c>
    </row>
    <row r="98" spans="1:9" x14ac:dyDescent="0.3">
      <c r="A98" t="s">
        <v>245</v>
      </c>
      <c r="B98" t="s">
        <v>246</v>
      </c>
      <c r="C98" t="s">
        <v>17</v>
      </c>
      <c r="D98" t="s">
        <v>77</v>
      </c>
      <c r="E98">
        <v>71823.56</v>
      </c>
      <c r="F98" s="7">
        <v>43374</v>
      </c>
      <c r="G98">
        <v>0.3</v>
      </c>
      <c r="H98" t="s">
        <v>59</v>
      </c>
      <c r="I98" t="s">
        <v>14</v>
      </c>
    </row>
    <row r="99" spans="1:9" x14ac:dyDescent="0.3">
      <c r="A99" t="s">
        <v>248</v>
      </c>
      <c r="B99" t="s">
        <v>249</v>
      </c>
      <c r="C99" t="s">
        <v>17</v>
      </c>
      <c r="D99" t="s">
        <v>80</v>
      </c>
      <c r="E99">
        <v>41934.71</v>
      </c>
      <c r="F99" s="7">
        <v>43943</v>
      </c>
      <c r="G99">
        <v>1</v>
      </c>
      <c r="H99" t="s">
        <v>13</v>
      </c>
      <c r="I99" t="s">
        <v>14</v>
      </c>
    </row>
    <row r="100" spans="1:9" x14ac:dyDescent="0.3">
      <c r="A100" t="s">
        <v>250</v>
      </c>
      <c r="B100" t="s">
        <v>579</v>
      </c>
      <c r="C100" t="s">
        <v>11</v>
      </c>
      <c r="D100" t="s">
        <v>99</v>
      </c>
      <c r="E100">
        <v>66572.58</v>
      </c>
      <c r="F100" s="7">
        <v>44193</v>
      </c>
      <c r="G100">
        <v>1</v>
      </c>
      <c r="H100" t="s">
        <v>13</v>
      </c>
      <c r="I100" t="s">
        <v>66</v>
      </c>
    </row>
    <row r="101" spans="1:9" x14ac:dyDescent="0.3">
      <c r="A101" t="s">
        <v>252</v>
      </c>
      <c r="B101" t="s">
        <v>580</v>
      </c>
      <c r="C101" t="s">
        <v>11</v>
      </c>
      <c r="D101" t="s">
        <v>40</v>
      </c>
      <c r="E101">
        <v>76932.600000000006</v>
      </c>
      <c r="F101" s="7">
        <v>43493</v>
      </c>
      <c r="G101">
        <v>1</v>
      </c>
      <c r="H101" t="s">
        <v>13</v>
      </c>
      <c r="I101" t="s">
        <v>30</v>
      </c>
    </row>
    <row r="102" spans="1:9" x14ac:dyDescent="0.3">
      <c r="A102" t="s">
        <v>254</v>
      </c>
      <c r="B102" t="s">
        <v>255</v>
      </c>
      <c r="C102" t="s">
        <v>11</v>
      </c>
      <c r="D102" t="s">
        <v>37</v>
      </c>
      <c r="E102">
        <v>59258.19</v>
      </c>
      <c r="F102" s="7">
        <v>43452</v>
      </c>
      <c r="G102">
        <v>0.8</v>
      </c>
      <c r="H102" t="s">
        <v>13</v>
      </c>
      <c r="I102" t="s">
        <v>19</v>
      </c>
    </row>
    <row r="103" spans="1:9" x14ac:dyDescent="0.3">
      <c r="A103" t="s">
        <v>256</v>
      </c>
      <c r="B103" t="s">
        <v>257</v>
      </c>
      <c r="C103" t="s">
        <v>11</v>
      </c>
      <c r="D103" t="s">
        <v>25</v>
      </c>
      <c r="E103">
        <v>112778.28</v>
      </c>
      <c r="F103" s="7">
        <v>43250</v>
      </c>
      <c r="G103">
        <v>1</v>
      </c>
      <c r="H103" t="s">
        <v>27</v>
      </c>
      <c r="I103" t="s">
        <v>14</v>
      </c>
    </row>
    <row r="104" spans="1:9" x14ac:dyDescent="0.3">
      <c r="A104" t="s">
        <v>258</v>
      </c>
      <c r="B104" t="s">
        <v>259</v>
      </c>
      <c r="C104" t="s">
        <v>17</v>
      </c>
      <c r="D104" t="s">
        <v>77</v>
      </c>
      <c r="E104">
        <v>44845.33</v>
      </c>
      <c r="F104" s="7">
        <v>43277</v>
      </c>
      <c r="G104">
        <v>1</v>
      </c>
      <c r="H104" t="s">
        <v>13</v>
      </c>
      <c r="I104" t="s">
        <v>19</v>
      </c>
    </row>
    <row r="105" spans="1:9" x14ac:dyDescent="0.3">
      <c r="A105" t="s">
        <v>261</v>
      </c>
      <c r="B105" t="s">
        <v>581</v>
      </c>
      <c r="C105" t="s">
        <v>11</v>
      </c>
      <c r="D105" t="s">
        <v>93</v>
      </c>
      <c r="E105">
        <v>115191.38</v>
      </c>
      <c r="F105" s="7">
        <v>44004</v>
      </c>
      <c r="G105">
        <v>1</v>
      </c>
      <c r="H105" t="s">
        <v>13</v>
      </c>
      <c r="I105" t="s">
        <v>30</v>
      </c>
    </row>
    <row r="106" spans="1:9" x14ac:dyDescent="0.3">
      <c r="A106" t="s">
        <v>262</v>
      </c>
      <c r="B106" t="s">
        <v>263</v>
      </c>
      <c r="C106" t="s">
        <v>17</v>
      </c>
      <c r="D106" t="s">
        <v>99</v>
      </c>
      <c r="E106">
        <v>111049.84</v>
      </c>
      <c r="F106" s="7">
        <v>44393</v>
      </c>
      <c r="G106">
        <v>1</v>
      </c>
      <c r="H106" t="s">
        <v>13</v>
      </c>
      <c r="I106" t="s">
        <v>35</v>
      </c>
    </row>
    <row r="107" spans="1:9" x14ac:dyDescent="0.3">
      <c r="A107" t="s">
        <v>264</v>
      </c>
      <c r="B107" t="s">
        <v>265</v>
      </c>
      <c r="C107" t="s">
        <v>17</v>
      </c>
      <c r="D107" t="s">
        <v>37</v>
      </c>
      <c r="E107">
        <v>75974.990000000005</v>
      </c>
      <c r="F107" s="7">
        <v>44172</v>
      </c>
      <c r="G107">
        <v>1</v>
      </c>
      <c r="H107" t="s">
        <v>13</v>
      </c>
      <c r="I107" t="s">
        <v>14</v>
      </c>
    </row>
    <row r="108" spans="1:9" x14ac:dyDescent="0.3">
      <c r="A108" t="s">
        <v>267</v>
      </c>
      <c r="B108" t="s">
        <v>268</v>
      </c>
      <c r="C108" t="s">
        <v>17</v>
      </c>
      <c r="D108" t="s">
        <v>22</v>
      </c>
      <c r="E108">
        <v>42161.77</v>
      </c>
      <c r="F108" s="7">
        <v>43494</v>
      </c>
      <c r="G108">
        <v>1</v>
      </c>
      <c r="H108" t="s">
        <v>13</v>
      </c>
      <c r="I108" t="s">
        <v>60</v>
      </c>
    </row>
    <row r="109" spans="1:9" x14ac:dyDescent="0.3">
      <c r="A109" t="s">
        <v>270</v>
      </c>
      <c r="B109" t="s">
        <v>582</v>
      </c>
      <c r="C109" t="s">
        <v>11</v>
      </c>
      <c r="D109" t="s">
        <v>18</v>
      </c>
      <c r="E109">
        <v>71371.37</v>
      </c>
      <c r="F109" s="7">
        <v>43392</v>
      </c>
      <c r="G109">
        <v>1</v>
      </c>
      <c r="H109" t="s">
        <v>13</v>
      </c>
      <c r="I109" t="s">
        <v>30</v>
      </c>
    </row>
    <row r="110" spans="1:9" x14ac:dyDescent="0.3">
      <c r="A110" t="s">
        <v>271</v>
      </c>
      <c r="B110" t="s">
        <v>272</v>
      </c>
      <c r="C110" t="s">
        <v>11</v>
      </c>
      <c r="D110" t="s">
        <v>77</v>
      </c>
      <c r="E110">
        <v>49915.14</v>
      </c>
      <c r="F110" s="7">
        <v>43550</v>
      </c>
      <c r="G110">
        <v>1</v>
      </c>
      <c r="H110" t="s">
        <v>13</v>
      </c>
      <c r="I110" t="s">
        <v>14</v>
      </c>
    </row>
    <row r="111" spans="1:9" x14ac:dyDescent="0.3">
      <c r="A111" t="s">
        <v>195</v>
      </c>
      <c r="B111" t="s">
        <v>196</v>
      </c>
      <c r="C111" t="s">
        <v>17</v>
      </c>
      <c r="D111" t="s">
        <v>99</v>
      </c>
      <c r="E111">
        <v>0</v>
      </c>
      <c r="F111" s="7">
        <v>44011</v>
      </c>
      <c r="G111">
        <v>1</v>
      </c>
      <c r="H111" t="s">
        <v>13</v>
      </c>
      <c r="I111" t="s">
        <v>35</v>
      </c>
    </row>
    <row r="112" spans="1:9" x14ac:dyDescent="0.3">
      <c r="A112" t="s">
        <v>274</v>
      </c>
      <c r="B112" t="s">
        <v>583</v>
      </c>
      <c r="C112" t="s">
        <v>11</v>
      </c>
      <c r="D112" t="s">
        <v>37</v>
      </c>
      <c r="E112">
        <v>37062.1</v>
      </c>
      <c r="F112" s="7">
        <v>44357</v>
      </c>
      <c r="G112">
        <v>1</v>
      </c>
      <c r="H112" t="s">
        <v>59</v>
      </c>
      <c r="I112" t="s">
        <v>66</v>
      </c>
    </row>
    <row r="113" spans="1:9" x14ac:dyDescent="0.3">
      <c r="A113" t="s">
        <v>275</v>
      </c>
      <c r="B113" t="s">
        <v>276</v>
      </c>
      <c r="C113" t="s">
        <v>17</v>
      </c>
      <c r="D113" t="s">
        <v>43</v>
      </c>
      <c r="E113">
        <v>0</v>
      </c>
      <c r="F113" s="7">
        <v>43504</v>
      </c>
      <c r="G113">
        <v>1</v>
      </c>
      <c r="H113" t="s">
        <v>13</v>
      </c>
      <c r="I113" t="s">
        <v>14</v>
      </c>
    </row>
    <row r="114" spans="1:9" x14ac:dyDescent="0.3">
      <c r="A114" t="s">
        <v>277</v>
      </c>
      <c r="B114" t="s">
        <v>278</v>
      </c>
      <c r="C114" t="s">
        <v>11</v>
      </c>
      <c r="D114" t="s">
        <v>77</v>
      </c>
      <c r="F114" s="7">
        <v>44077</v>
      </c>
      <c r="G114">
        <v>1</v>
      </c>
      <c r="H114" t="s">
        <v>27</v>
      </c>
      <c r="I114" t="s">
        <v>55</v>
      </c>
    </row>
    <row r="115" spans="1:9" x14ac:dyDescent="0.3">
      <c r="A115" t="s">
        <v>100</v>
      </c>
      <c r="B115" t="s">
        <v>101</v>
      </c>
      <c r="C115" t="s">
        <v>11</v>
      </c>
      <c r="D115" t="s">
        <v>18</v>
      </c>
      <c r="E115">
        <v>90884.32</v>
      </c>
      <c r="F115" s="7">
        <v>43826</v>
      </c>
      <c r="G115">
        <v>1</v>
      </c>
      <c r="H115" t="s">
        <v>13</v>
      </c>
      <c r="I115" t="s">
        <v>55</v>
      </c>
    </row>
    <row r="116" spans="1:9" x14ac:dyDescent="0.3">
      <c r="A116" t="s">
        <v>279</v>
      </c>
      <c r="B116" t="s">
        <v>280</v>
      </c>
      <c r="C116" t="s">
        <v>11</v>
      </c>
      <c r="D116" t="s">
        <v>99</v>
      </c>
      <c r="E116">
        <v>89838.77</v>
      </c>
      <c r="F116" s="7">
        <v>43602</v>
      </c>
      <c r="G116">
        <v>1</v>
      </c>
      <c r="H116" t="s">
        <v>13</v>
      </c>
      <c r="I116" t="s">
        <v>14</v>
      </c>
    </row>
    <row r="117" spans="1:9" x14ac:dyDescent="0.3">
      <c r="A117" t="s">
        <v>281</v>
      </c>
      <c r="B117" t="s">
        <v>584</v>
      </c>
      <c r="C117" t="s">
        <v>11</v>
      </c>
      <c r="D117" t="s">
        <v>99</v>
      </c>
      <c r="E117">
        <v>0</v>
      </c>
      <c r="F117" s="7">
        <v>44462</v>
      </c>
      <c r="G117">
        <v>1</v>
      </c>
      <c r="H117" t="s">
        <v>13</v>
      </c>
      <c r="I117" t="s">
        <v>66</v>
      </c>
    </row>
    <row r="118" spans="1:9" x14ac:dyDescent="0.3">
      <c r="A118" t="s">
        <v>283</v>
      </c>
      <c r="B118" t="s">
        <v>284</v>
      </c>
      <c r="C118" t="s">
        <v>17</v>
      </c>
      <c r="D118" t="s">
        <v>77</v>
      </c>
      <c r="E118">
        <v>68887.839999999997</v>
      </c>
      <c r="F118" s="7">
        <v>43297</v>
      </c>
      <c r="G118">
        <v>1</v>
      </c>
      <c r="H118" t="s">
        <v>13</v>
      </c>
      <c r="I118" t="s">
        <v>14</v>
      </c>
    </row>
    <row r="119" spans="1:9" x14ac:dyDescent="0.3">
      <c r="A119" t="s">
        <v>205</v>
      </c>
      <c r="B119" t="s">
        <v>585</v>
      </c>
      <c r="C119" t="s">
        <v>11</v>
      </c>
      <c r="D119" t="s">
        <v>93</v>
      </c>
      <c r="E119">
        <v>106775.14</v>
      </c>
      <c r="F119" s="7">
        <v>43563</v>
      </c>
      <c r="G119">
        <v>1</v>
      </c>
      <c r="H119" t="s">
        <v>27</v>
      </c>
      <c r="I119" t="s">
        <v>30</v>
      </c>
    </row>
    <row r="120" spans="1:9" x14ac:dyDescent="0.3">
      <c r="A120" t="s">
        <v>285</v>
      </c>
      <c r="B120" t="s">
        <v>586</v>
      </c>
      <c r="C120" t="s">
        <v>17</v>
      </c>
      <c r="D120" t="s">
        <v>22</v>
      </c>
      <c r="E120">
        <v>89690.38</v>
      </c>
      <c r="F120" s="7">
        <v>43213</v>
      </c>
      <c r="G120">
        <v>1</v>
      </c>
      <c r="H120" t="s">
        <v>13</v>
      </c>
      <c r="I120" t="s">
        <v>30</v>
      </c>
    </row>
    <row r="121" spans="1:9" x14ac:dyDescent="0.3">
      <c r="A121" t="s">
        <v>287</v>
      </c>
      <c r="B121" t="s">
        <v>288</v>
      </c>
      <c r="C121" t="s">
        <v>11</v>
      </c>
      <c r="D121" t="s">
        <v>93</v>
      </c>
      <c r="E121">
        <v>111229.47</v>
      </c>
      <c r="F121" s="7">
        <v>43402</v>
      </c>
      <c r="G121">
        <v>1</v>
      </c>
      <c r="H121" t="s">
        <v>13</v>
      </c>
      <c r="I121" t="s">
        <v>14</v>
      </c>
    </row>
    <row r="122" spans="1:9" x14ac:dyDescent="0.3">
      <c r="A122" t="s">
        <v>290</v>
      </c>
      <c r="B122" t="s">
        <v>291</v>
      </c>
      <c r="C122" t="s">
        <v>11</v>
      </c>
      <c r="D122" t="s">
        <v>77</v>
      </c>
      <c r="E122">
        <v>67633.850000000006</v>
      </c>
      <c r="F122" s="7">
        <v>43340</v>
      </c>
      <c r="G122">
        <v>1</v>
      </c>
      <c r="H122" t="s">
        <v>13</v>
      </c>
      <c r="I122" t="s">
        <v>55</v>
      </c>
    </row>
    <row r="123" spans="1:9" x14ac:dyDescent="0.3">
      <c r="A123" t="s">
        <v>292</v>
      </c>
      <c r="B123" t="s">
        <v>293</v>
      </c>
      <c r="C123" t="s">
        <v>11</v>
      </c>
      <c r="D123" t="s">
        <v>22</v>
      </c>
      <c r="E123">
        <v>111815.49</v>
      </c>
      <c r="F123" s="7">
        <v>43895</v>
      </c>
      <c r="G123">
        <v>0.7</v>
      </c>
      <c r="H123" t="s">
        <v>59</v>
      </c>
      <c r="I123" t="s">
        <v>14</v>
      </c>
    </row>
    <row r="124" spans="1:9" x14ac:dyDescent="0.3">
      <c r="A124" t="s">
        <v>294</v>
      </c>
      <c r="B124" t="s">
        <v>587</v>
      </c>
      <c r="C124" t="s">
        <v>11</v>
      </c>
      <c r="D124" t="s">
        <v>18</v>
      </c>
      <c r="E124">
        <v>39784.239999999998</v>
      </c>
      <c r="F124" s="7">
        <v>43465</v>
      </c>
      <c r="G124">
        <v>1</v>
      </c>
      <c r="H124" t="s">
        <v>27</v>
      </c>
      <c r="I124" t="s">
        <v>66</v>
      </c>
    </row>
    <row r="125" spans="1:9" x14ac:dyDescent="0.3">
      <c r="A125" t="s">
        <v>296</v>
      </c>
      <c r="B125" t="s">
        <v>588</v>
      </c>
      <c r="C125" t="s">
        <v>17</v>
      </c>
      <c r="D125" t="s">
        <v>93</v>
      </c>
      <c r="E125">
        <v>89829.33</v>
      </c>
      <c r="F125" s="7">
        <v>43794</v>
      </c>
      <c r="G125">
        <v>1</v>
      </c>
      <c r="H125" t="s">
        <v>59</v>
      </c>
      <c r="I125" t="s">
        <v>66</v>
      </c>
    </row>
    <row r="126" spans="1:9" x14ac:dyDescent="0.3">
      <c r="A126" t="s">
        <v>292</v>
      </c>
      <c r="B126" t="s">
        <v>293</v>
      </c>
      <c r="C126" t="s">
        <v>11</v>
      </c>
      <c r="D126" t="s">
        <v>22</v>
      </c>
      <c r="E126">
        <v>111815.49</v>
      </c>
      <c r="F126" s="7">
        <v>43895</v>
      </c>
      <c r="G126">
        <v>0.7</v>
      </c>
      <c r="H126" t="s">
        <v>59</v>
      </c>
      <c r="I126" t="s">
        <v>14</v>
      </c>
    </row>
    <row r="127" spans="1:9" x14ac:dyDescent="0.3">
      <c r="A127" t="s">
        <v>297</v>
      </c>
      <c r="B127" t="s">
        <v>298</v>
      </c>
      <c r="C127" t="s">
        <v>11</v>
      </c>
      <c r="D127" t="s">
        <v>99</v>
      </c>
      <c r="E127">
        <v>72843.23</v>
      </c>
      <c r="F127" s="7">
        <v>43280</v>
      </c>
      <c r="G127">
        <v>1</v>
      </c>
      <c r="H127" t="s">
        <v>27</v>
      </c>
      <c r="I127" t="s">
        <v>35</v>
      </c>
    </row>
    <row r="128" spans="1:9" x14ac:dyDescent="0.3">
      <c r="A128" t="s">
        <v>245</v>
      </c>
      <c r="B128" t="s">
        <v>246</v>
      </c>
      <c r="C128" t="s">
        <v>17</v>
      </c>
      <c r="D128" t="s">
        <v>77</v>
      </c>
      <c r="E128">
        <v>71823.56</v>
      </c>
      <c r="F128" s="7">
        <v>43374</v>
      </c>
      <c r="G128">
        <v>0.3</v>
      </c>
      <c r="H128" t="s">
        <v>59</v>
      </c>
      <c r="I128" t="s">
        <v>14</v>
      </c>
    </row>
    <row r="129" spans="1:9" x14ac:dyDescent="0.3">
      <c r="A129" t="s">
        <v>299</v>
      </c>
      <c r="B129" t="s">
        <v>300</v>
      </c>
      <c r="C129" t="s">
        <v>11</v>
      </c>
      <c r="D129" t="s">
        <v>18</v>
      </c>
      <c r="E129">
        <v>88511.17</v>
      </c>
      <c r="F129" s="7">
        <v>43950</v>
      </c>
      <c r="G129">
        <v>1</v>
      </c>
      <c r="H129" t="s">
        <v>13</v>
      </c>
      <c r="I129" t="s">
        <v>55</v>
      </c>
    </row>
    <row r="130" spans="1:9" x14ac:dyDescent="0.3">
      <c r="A130" t="s">
        <v>302</v>
      </c>
      <c r="B130" t="s">
        <v>303</v>
      </c>
      <c r="C130" t="s">
        <v>11</v>
      </c>
      <c r="D130" t="s">
        <v>77</v>
      </c>
      <c r="E130">
        <v>36547.58</v>
      </c>
      <c r="F130" s="7">
        <v>43416</v>
      </c>
      <c r="G130">
        <v>1</v>
      </c>
      <c r="H130" t="s">
        <v>13</v>
      </c>
      <c r="I130" t="s">
        <v>14</v>
      </c>
    </row>
    <row r="131" spans="1:9" x14ac:dyDescent="0.3">
      <c r="A131" t="s">
        <v>304</v>
      </c>
      <c r="B131" t="s">
        <v>589</v>
      </c>
      <c r="C131" t="s">
        <v>11</v>
      </c>
      <c r="D131" t="s">
        <v>77</v>
      </c>
      <c r="E131">
        <v>95954.02</v>
      </c>
      <c r="F131" s="7">
        <v>43567</v>
      </c>
      <c r="G131">
        <v>0.3</v>
      </c>
      <c r="H131" t="s">
        <v>13</v>
      </c>
      <c r="I131" t="s">
        <v>30</v>
      </c>
    </row>
    <row r="132" spans="1:9" x14ac:dyDescent="0.3">
      <c r="A132" t="s">
        <v>305</v>
      </c>
      <c r="B132" t="s">
        <v>590</v>
      </c>
      <c r="C132" t="s">
        <v>17</v>
      </c>
      <c r="D132" t="s">
        <v>25</v>
      </c>
      <c r="E132">
        <v>95677.9</v>
      </c>
      <c r="F132" s="7">
        <v>44396</v>
      </c>
      <c r="G132">
        <v>0.3</v>
      </c>
      <c r="H132" t="s">
        <v>13</v>
      </c>
      <c r="I132" t="s">
        <v>66</v>
      </c>
    </row>
    <row r="133" spans="1:9" x14ac:dyDescent="0.3">
      <c r="A133" t="s">
        <v>307</v>
      </c>
      <c r="B133" t="s">
        <v>591</v>
      </c>
      <c r="C133" t="s">
        <v>17</v>
      </c>
      <c r="D133" t="s">
        <v>77</v>
      </c>
      <c r="E133">
        <v>76303.820000000007</v>
      </c>
      <c r="F133" s="7">
        <v>43458</v>
      </c>
      <c r="G133">
        <v>1</v>
      </c>
      <c r="H133" t="s">
        <v>27</v>
      </c>
      <c r="I133" t="s">
        <v>30</v>
      </c>
    </row>
    <row r="134" spans="1:9" x14ac:dyDescent="0.3">
      <c r="A134" t="s">
        <v>308</v>
      </c>
      <c r="B134" t="s">
        <v>309</v>
      </c>
      <c r="C134" t="s">
        <v>17</v>
      </c>
      <c r="D134" t="s">
        <v>43</v>
      </c>
      <c r="F134" s="7">
        <v>43538</v>
      </c>
      <c r="G134">
        <v>1</v>
      </c>
      <c r="H134" t="s">
        <v>13</v>
      </c>
      <c r="I134" t="s">
        <v>60</v>
      </c>
    </row>
    <row r="135" spans="1:9" x14ac:dyDescent="0.3">
      <c r="A135" t="s">
        <v>310</v>
      </c>
      <c r="B135" t="s">
        <v>311</v>
      </c>
      <c r="C135" t="s">
        <v>11</v>
      </c>
      <c r="D135" t="s">
        <v>99</v>
      </c>
      <c r="E135">
        <v>99460.78</v>
      </c>
      <c r="F135" s="7">
        <v>43956</v>
      </c>
      <c r="G135">
        <v>1</v>
      </c>
      <c r="H135" t="s">
        <v>13</v>
      </c>
      <c r="I135" t="s">
        <v>14</v>
      </c>
    </row>
    <row r="136" spans="1:9" x14ac:dyDescent="0.3">
      <c r="A136" t="s">
        <v>313</v>
      </c>
      <c r="B136" t="s">
        <v>314</v>
      </c>
      <c r="C136" t="s">
        <v>17</v>
      </c>
      <c r="D136" t="s">
        <v>37</v>
      </c>
      <c r="E136">
        <v>88034.67</v>
      </c>
      <c r="F136" s="7">
        <v>43669</v>
      </c>
      <c r="G136">
        <v>1</v>
      </c>
      <c r="H136" t="s">
        <v>13</v>
      </c>
      <c r="I136" t="s">
        <v>14</v>
      </c>
    </row>
    <row r="137" spans="1:9" x14ac:dyDescent="0.3">
      <c r="A137" t="s">
        <v>315</v>
      </c>
      <c r="B137" t="s">
        <v>316</v>
      </c>
      <c r="C137" t="s">
        <v>17</v>
      </c>
      <c r="D137" t="s">
        <v>43</v>
      </c>
      <c r="E137">
        <v>44447.26</v>
      </c>
      <c r="F137" s="7">
        <v>43846</v>
      </c>
      <c r="G137">
        <v>0.4</v>
      </c>
      <c r="H137" t="s">
        <v>13</v>
      </c>
      <c r="I137" t="s">
        <v>19</v>
      </c>
    </row>
    <row r="138" spans="1:9" x14ac:dyDescent="0.3">
      <c r="A138" t="s">
        <v>317</v>
      </c>
      <c r="B138" t="s">
        <v>592</v>
      </c>
      <c r="C138" t="s">
        <v>11</v>
      </c>
      <c r="D138" t="s">
        <v>93</v>
      </c>
      <c r="E138">
        <v>40445.29</v>
      </c>
      <c r="F138" s="7">
        <v>44393</v>
      </c>
      <c r="G138">
        <v>1</v>
      </c>
      <c r="H138" t="s">
        <v>13</v>
      </c>
      <c r="I138" t="s">
        <v>66</v>
      </c>
    </row>
    <row r="139" spans="1:9" x14ac:dyDescent="0.3">
      <c r="A139" t="s">
        <v>318</v>
      </c>
      <c r="B139" t="s">
        <v>593</v>
      </c>
      <c r="C139" t="s">
        <v>17</v>
      </c>
      <c r="D139" t="s">
        <v>43</v>
      </c>
      <c r="E139">
        <v>92336.08</v>
      </c>
      <c r="F139" s="7">
        <v>44431</v>
      </c>
      <c r="G139">
        <v>1</v>
      </c>
      <c r="H139" t="s">
        <v>13</v>
      </c>
      <c r="I139" t="s">
        <v>30</v>
      </c>
    </row>
    <row r="140" spans="1:9" x14ac:dyDescent="0.3">
      <c r="A140" t="s">
        <v>319</v>
      </c>
      <c r="B140" t="s">
        <v>320</v>
      </c>
      <c r="C140" t="s">
        <v>17</v>
      </c>
      <c r="D140" t="s">
        <v>40</v>
      </c>
      <c r="E140">
        <v>68008.55</v>
      </c>
      <c r="F140" s="7">
        <v>44062</v>
      </c>
      <c r="G140">
        <v>1</v>
      </c>
      <c r="H140" t="s">
        <v>13</v>
      </c>
      <c r="I140" t="s">
        <v>60</v>
      </c>
    </row>
    <row r="141" spans="1:9" x14ac:dyDescent="0.3">
      <c r="A141" t="s">
        <v>321</v>
      </c>
      <c r="B141" t="s">
        <v>594</v>
      </c>
      <c r="C141" t="s">
        <v>11</v>
      </c>
      <c r="D141" t="s">
        <v>93</v>
      </c>
      <c r="E141">
        <v>74924.649999999994</v>
      </c>
      <c r="F141" s="7">
        <v>44239</v>
      </c>
      <c r="G141">
        <v>1</v>
      </c>
      <c r="H141" t="s">
        <v>13</v>
      </c>
      <c r="I141" t="s">
        <v>30</v>
      </c>
    </row>
    <row r="142" spans="1:9" x14ac:dyDescent="0.3">
      <c r="A142" t="s">
        <v>163</v>
      </c>
      <c r="B142" t="s">
        <v>164</v>
      </c>
      <c r="C142" t="s">
        <v>11</v>
      </c>
      <c r="D142" t="s">
        <v>37</v>
      </c>
      <c r="F142" s="7">
        <v>43724</v>
      </c>
      <c r="G142">
        <v>0.2</v>
      </c>
      <c r="H142" t="s">
        <v>13</v>
      </c>
      <c r="I142" t="s">
        <v>60</v>
      </c>
    </row>
    <row r="143" spans="1:9" x14ac:dyDescent="0.3">
      <c r="A143" t="s">
        <v>323</v>
      </c>
      <c r="B143" t="s">
        <v>324</v>
      </c>
      <c r="C143" t="s">
        <v>11</v>
      </c>
      <c r="D143" t="s">
        <v>22</v>
      </c>
      <c r="E143">
        <v>88689.09</v>
      </c>
      <c r="F143" s="7">
        <v>43740</v>
      </c>
      <c r="G143">
        <v>1</v>
      </c>
      <c r="H143" t="s">
        <v>13</v>
      </c>
      <c r="I143" t="s">
        <v>19</v>
      </c>
    </row>
    <row r="144" spans="1:9" x14ac:dyDescent="0.3">
      <c r="A144" t="s">
        <v>326</v>
      </c>
      <c r="B144" t="s">
        <v>595</v>
      </c>
      <c r="C144" t="s">
        <v>17</v>
      </c>
      <c r="D144" t="s">
        <v>43</v>
      </c>
      <c r="E144">
        <v>96555.53</v>
      </c>
      <c r="F144" s="7">
        <v>43489</v>
      </c>
      <c r="G144">
        <v>0.2</v>
      </c>
      <c r="H144" t="s">
        <v>59</v>
      </c>
      <c r="I144" t="s">
        <v>30</v>
      </c>
    </row>
    <row r="145" spans="1:9" x14ac:dyDescent="0.3">
      <c r="A145" t="s">
        <v>327</v>
      </c>
      <c r="B145" t="s">
        <v>596</v>
      </c>
      <c r="C145" t="s">
        <v>17</v>
      </c>
      <c r="D145" t="s">
        <v>37</v>
      </c>
      <c r="E145">
        <v>71924.850000000006</v>
      </c>
      <c r="F145" s="7">
        <v>43822</v>
      </c>
      <c r="G145">
        <v>1</v>
      </c>
      <c r="H145" t="s">
        <v>13</v>
      </c>
      <c r="I145" t="s">
        <v>66</v>
      </c>
    </row>
    <row r="146" spans="1:9" x14ac:dyDescent="0.3">
      <c r="A146" t="s">
        <v>328</v>
      </c>
      <c r="B146" t="s">
        <v>329</v>
      </c>
      <c r="C146" t="s">
        <v>11</v>
      </c>
      <c r="D146" t="s">
        <v>93</v>
      </c>
      <c r="E146">
        <v>31241.24</v>
      </c>
      <c r="F146" s="7">
        <v>43725</v>
      </c>
      <c r="G146">
        <v>1</v>
      </c>
      <c r="H146" t="s">
        <v>13</v>
      </c>
      <c r="I146" t="s">
        <v>14</v>
      </c>
    </row>
    <row r="147" spans="1:9" x14ac:dyDescent="0.3">
      <c r="A147" t="s">
        <v>330</v>
      </c>
      <c r="B147" t="s">
        <v>331</v>
      </c>
      <c r="C147" t="s">
        <v>11</v>
      </c>
      <c r="D147" t="s">
        <v>18</v>
      </c>
      <c r="E147">
        <v>110042.37</v>
      </c>
      <c r="F147" s="7">
        <v>43914</v>
      </c>
      <c r="G147">
        <v>1</v>
      </c>
      <c r="H147" t="s">
        <v>13</v>
      </c>
      <c r="I147" t="s">
        <v>55</v>
      </c>
    </row>
    <row r="148" spans="1:9" x14ac:dyDescent="0.3">
      <c r="A148" t="s">
        <v>64</v>
      </c>
      <c r="B148" t="s">
        <v>597</v>
      </c>
      <c r="C148" t="s">
        <v>17</v>
      </c>
      <c r="D148" t="s">
        <v>25</v>
      </c>
      <c r="E148">
        <v>37902.35</v>
      </c>
      <c r="F148" s="7">
        <v>43823</v>
      </c>
      <c r="G148">
        <v>1</v>
      </c>
      <c r="H148" t="s">
        <v>13</v>
      </c>
      <c r="I148" t="s">
        <v>66</v>
      </c>
    </row>
    <row r="149" spans="1:9" x14ac:dyDescent="0.3">
      <c r="A149" t="s">
        <v>332</v>
      </c>
      <c r="B149" t="s">
        <v>598</v>
      </c>
      <c r="C149" t="s">
        <v>17</v>
      </c>
      <c r="D149" t="s">
        <v>18</v>
      </c>
      <c r="E149">
        <v>33031.26</v>
      </c>
      <c r="F149" s="7">
        <v>43468</v>
      </c>
      <c r="G149">
        <v>0.4</v>
      </c>
      <c r="H149" t="s">
        <v>13</v>
      </c>
      <c r="I149" t="s">
        <v>30</v>
      </c>
    </row>
    <row r="150" spans="1:9" x14ac:dyDescent="0.3">
      <c r="A150" t="s">
        <v>334</v>
      </c>
      <c r="B150" t="s">
        <v>335</v>
      </c>
      <c r="C150" t="s">
        <v>17</v>
      </c>
      <c r="D150" t="s">
        <v>99</v>
      </c>
      <c r="E150">
        <v>32496.880000000001</v>
      </c>
      <c r="F150" s="7">
        <v>43234</v>
      </c>
      <c r="G150">
        <v>1</v>
      </c>
      <c r="H150" t="s">
        <v>59</v>
      </c>
      <c r="I150" t="s">
        <v>14</v>
      </c>
    </row>
    <row r="151" spans="1:9" x14ac:dyDescent="0.3">
      <c r="A151" t="s">
        <v>336</v>
      </c>
      <c r="B151" t="s">
        <v>337</v>
      </c>
      <c r="C151" t="s">
        <v>17</v>
      </c>
      <c r="D151" t="s">
        <v>22</v>
      </c>
      <c r="E151">
        <v>81897.789999999994</v>
      </c>
      <c r="F151" s="7">
        <v>43146</v>
      </c>
      <c r="G151">
        <v>1</v>
      </c>
      <c r="H151" t="s">
        <v>13</v>
      </c>
      <c r="I151" t="s">
        <v>60</v>
      </c>
    </row>
    <row r="152" spans="1:9" x14ac:dyDescent="0.3">
      <c r="A152" t="s">
        <v>338</v>
      </c>
      <c r="B152" t="s">
        <v>339</v>
      </c>
      <c r="C152" t="s">
        <v>11</v>
      </c>
      <c r="D152" t="s">
        <v>33</v>
      </c>
      <c r="E152">
        <v>108872.77</v>
      </c>
      <c r="F152" s="7">
        <v>43521</v>
      </c>
      <c r="G152">
        <v>1</v>
      </c>
      <c r="H152" t="s">
        <v>13</v>
      </c>
      <c r="I152" t="s">
        <v>14</v>
      </c>
    </row>
    <row r="153" spans="1:9" x14ac:dyDescent="0.3">
      <c r="A153" t="s">
        <v>340</v>
      </c>
      <c r="B153" t="s">
        <v>341</v>
      </c>
      <c r="C153" t="s">
        <v>11</v>
      </c>
      <c r="D153" t="s">
        <v>40</v>
      </c>
      <c r="E153">
        <v>89605.13</v>
      </c>
      <c r="F153" s="7">
        <v>43258</v>
      </c>
      <c r="G153">
        <v>1</v>
      </c>
      <c r="H153" t="s">
        <v>13</v>
      </c>
      <c r="I153" t="s">
        <v>19</v>
      </c>
    </row>
    <row r="154" spans="1:9" x14ac:dyDescent="0.3">
      <c r="A154" t="s">
        <v>343</v>
      </c>
      <c r="B154" t="s">
        <v>344</v>
      </c>
      <c r="D154" t="s">
        <v>99</v>
      </c>
      <c r="E154">
        <v>63447.07</v>
      </c>
      <c r="F154" s="7">
        <v>44148</v>
      </c>
      <c r="G154">
        <v>1</v>
      </c>
      <c r="H154" t="s">
        <v>59</v>
      </c>
      <c r="I154" t="s">
        <v>35</v>
      </c>
    </row>
    <row r="155" spans="1:9" x14ac:dyDescent="0.3">
      <c r="A155" t="s">
        <v>346</v>
      </c>
      <c r="B155" t="s">
        <v>347</v>
      </c>
      <c r="C155" t="s">
        <v>17</v>
      </c>
      <c r="D155" t="s">
        <v>93</v>
      </c>
      <c r="E155">
        <v>106665.67</v>
      </c>
      <c r="F155" s="7">
        <v>43311</v>
      </c>
      <c r="G155">
        <v>1</v>
      </c>
      <c r="H155" t="s">
        <v>59</v>
      </c>
      <c r="I155" t="s">
        <v>55</v>
      </c>
    </row>
    <row r="156" spans="1:9" x14ac:dyDescent="0.3">
      <c r="A156" t="s">
        <v>348</v>
      </c>
      <c r="B156" t="s">
        <v>349</v>
      </c>
      <c r="C156" t="s">
        <v>11</v>
      </c>
      <c r="D156" t="s">
        <v>22</v>
      </c>
      <c r="E156">
        <v>100424.23</v>
      </c>
      <c r="F156" s="7">
        <v>43801</v>
      </c>
      <c r="G156">
        <v>1</v>
      </c>
      <c r="H156" t="s">
        <v>13</v>
      </c>
      <c r="I156" t="s">
        <v>60</v>
      </c>
    </row>
    <row r="157" spans="1:9" x14ac:dyDescent="0.3">
      <c r="A157" t="s">
        <v>350</v>
      </c>
      <c r="B157" t="s">
        <v>599</v>
      </c>
      <c r="C157" t="s">
        <v>11</v>
      </c>
      <c r="D157" t="s">
        <v>22</v>
      </c>
      <c r="E157">
        <v>47646.95</v>
      </c>
      <c r="F157" s="7">
        <v>43791</v>
      </c>
      <c r="G157">
        <v>0.3</v>
      </c>
      <c r="H157" t="s">
        <v>27</v>
      </c>
      <c r="I157" t="s">
        <v>66</v>
      </c>
    </row>
    <row r="158" spans="1:9" x14ac:dyDescent="0.3">
      <c r="A158" t="s">
        <v>351</v>
      </c>
      <c r="B158" t="s">
        <v>600</v>
      </c>
      <c r="C158" t="s">
        <v>11</v>
      </c>
      <c r="D158" t="s">
        <v>99</v>
      </c>
      <c r="E158">
        <v>28481.16</v>
      </c>
      <c r="F158" s="7">
        <v>43916</v>
      </c>
      <c r="G158">
        <v>1</v>
      </c>
      <c r="H158" t="s">
        <v>13</v>
      </c>
      <c r="I158" t="s">
        <v>30</v>
      </c>
    </row>
    <row r="159" spans="1:9" x14ac:dyDescent="0.3">
      <c r="A159" t="s">
        <v>275</v>
      </c>
      <c r="B159" t="s">
        <v>276</v>
      </c>
      <c r="C159" t="s">
        <v>17</v>
      </c>
      <c r="D159" t="s">
        <v>43</v>
      </c>
      <c r="F159" s="7">
        <v>43504</v>
      </c>
      <c r="G159">
        <v>1</v>
      </c>
      <c r="H159" t="s">
        <v>13</v>
      </c>
      <c r="I159" t="s">
        <v>14</v>
      </c>
    </row>
    <row r="160" spans="1:9" x14ac:dyDescent="0.3">
      <c r="A160" t="s">
        <v>352</v>
      </c>
      <c r="B160" t="s">
        <v>353</v>
      </c>
      <c r="C160" t="s">
        <v>17</v>
      </c>
      <c r="D160" t="s">
        <v>80</v>
      </c>
      <c r="E160">
        <v>39535.49</v>
      </c>
      <c r="F160" s="7">
        <v>43397</v>
      </c>
      <c r="G160">
        <v>0.3</v>
      </c>
      <c r="H160" t="s">
        <v>13</v>
      </c>
      <c r="I160" t="s">
        <v>14</v>
      </c>
    </row>
    <row r="161" spans="1:9" x14ac:dyDescent="0.3">
      <c r="A161" t="s">
        <v>354</v>
      </c>
      <c r="B161" t="s">
        <v>355</v>
      </c>
      <c r="C161" t="s">
        <v>11</v>
      </c>
      <c r="D161" t="s">
        <v>37</v>
      </c>
      <c r="E161">
        <v>95017.1</v>
      </c>
      <c r="F161" s="7">
        <v>43283</v>
      </c>
      <c r="G161">
        <v>1</v>
      </c>
      <c r="H161" t="s">
        <v>27</v>
      </c>
      <c r="I161" t="s">
        <v>19</v>
      </c>
    </row>
    <row r="162" spans="1:9" x14ac:dyDescent="0.3">
      <c r="A162" t="s">
        <v>356</v>
      </c>
      <c r="B162" t="s">
        <v>357</v>
      </c>
      <c r="C162" t="s">
        <v>11</v>
      </c>
      <c r="D162" t="s">
        <v>18</v>
      </c>
      <c r="E162">
        <v>69764.100000000006</v>
      </c>
      <c r="F162" s="7">
        <v>44195</v>
      </c>
      <c r="G162">
        <v>1</v>
      </c>
      <c r="H162" t="s">
        <v>27</v>
      </c>
      <c r="I162" t="s">
        <v>19</v>
      </c>
    </row>
    <row r="163" spans="1:9" x14ac:dyDescent="0.3">
      <c r="A163" t="s">
        <v>358</v>
      </c>
      <c r="B163" t="s">
        <v>359</v>
      </c>
      <c r="C163" t="s">
        <v>17</v>
      </c>
      <c r="D163" t="s">
        <v>80</v>
      </c>
      <c r="E163">
        <v>84598.88</v>
      </c>
      <c r="F163" s="7">
        <v>44116</v>
      </c>
      <c r="G163">
        <v>1</v>
      </c>
      <c r="H163" t="s">
        <v>27</v>
      </c>
      <c r="I163" t="s">
        <v>19</v>
      </c>
    </row>
    <row r="164" spans="1:9" x14ac:dyDescent="0.3">
      <c r="A164" t="s">
        <v>361</v>
      </c>
      <c r="B164" t="s">
        <v>601</v>
      </c>
      <c r="C164" t="s">
        <v>11</v>
      </c>
      <c r="D164" t="s">
        <v>33</v>
      </c>
      <c r="E164">
        <v>36536.26</v>
      </c>
      <c r="F164" s="7">
        <v>44358</v>
      </c>
      <c r="G164">
        <v>1</v>
      </c>
      <c r="H164" t="s">
        <v>59</v>
      </c>
      <c r="I164" t="s">
        <v>30</v>
      </c>
    </row>
    <row r="165" spans="1:9" x14ac:dyDescent="0.3">
      <c r="A165" t="s">
        <v>363</v>
      </c>
      <c r="B165" t="s">
        <v>602</v>
      </c>
      <c r="C165" t="s">
        <v>17</v>
      </c>
      <c r="D165" t="s">
        <v>18</v>
      </c>
      <c r="E165">
        <v>61688.77</v>
      </c>
      <c r="F165" s="7">
        <v>43346</v>
      </c>
      <c r="G165">
        <v>0.9</v>
      </c>
      <c r="H165" t="s">
        <v>13</v>
      </c>
      <c r="I165" t="s">
        <v>66</v>
      </c>
    </row>
    <row r="166" spans="1:9" x14ac:dyDescent="0.3">
      <c r="A166" t="s">
        <v>365</v>
      </c>
      <c r="B166" t="s">
        <v>366</v>
      </c>
      <c r="C166" t="s">
        <v>17</v>
      </c>
      <c r="D166" t="s">
        <v>93</v>
      </c>
      <c r="F166" s="7">
        <v>44186</v>
      </c>
      <c r="G166">
        <v>1</v>
      </c>
      <c r="H166" t="s">
        <v>13</v>
      </c>
      <c r="I166" t="s">
        <v>19</v>
      </c>
    </row>
    <row r="167" spans="1:9" x14ac:dyDescent="0.3">
      <c r="A167" t="s">
        <v>368</v>
      </c>
      <c r="B167" t="s">
        <v>603</v>
      </c>
      <c r="C167" t="s">
        <v>17</v>
      </c>
      <c r="D167" t="s">
        <v>33</v>
      </c>
      <c r="E167">
        <v>88425.08</v>
      </c>
      <c r="F167" s="7">
        <v>43662</v>
      </c>
      <c r="G167">
        <v>1</v>
      </c>
      <c r="H167" t="s">
        <v>13</v>
      </c>
      <c r="I167" t="s">
        <v>30</v>
      </c>
    </row>
    <row r="168" spans="1:9" x14ac:dyDescent="0.3">
      <c r="A168" t="s">
        <v>158</v>
      </c>
      <c r="B168" t="s">
        <v>604</v>
      </c>
      <c r="C168" t="s">
        <v>17</v>
      </c>
      <c r="D168" t="s">
        <v>93</v>
      </c>
      <c r="E168">
        <v>38438.239999999998</v>
      </c>
      <c r="F168" s="7">
        <v>43962</v>
      </c>
      <c r="G168">
        <v>1</v>
      </c>
      <c r="H168" t="s">
        <v>13</v>
      </c>
      <c r="I168" t="s">
        <v>66</v>
      </c>
    </row>
    <row r="169" spans="1:9" x14ac:dyDescent="0.3">
      <c r="A169" t="s">
        <v>370</v>
      </c>
      <c r="B169" t="s">
        <v>371</v>
      </c>
      <c r="C169" t="s">
        <v>11</v>
      </c>
      <c r="D169" t="s">
        <v>80</v>
      </c>
      <c r="E169">
        <v>96753.78</v>
      </c>
      <c r="F169" s="7">
        <v>44494</v>
      </c>
      <c r="G169">
        <v>1</v>
      </c>
      <c r="H169" t="s">
        <v>13</v>
      </c>
      <c r="I169" t="s">
        <v>60</v>
      </c>
    </row>
    <row r="170" spans="1:9" x14ac:dyDescent="0.3">
      <c r="A170" t="s">
        <v>256</v>
      </c>
      <c r="B170" t="s">
        <v>257</v>
      </c>
      <c r="C170" t="s">
        <v>11</v>
      </c>
      <c r="D170" t="s">
        <v>25</v>
      </c>
      <c r="E170">
        <v>112778.28</v>
      </c>
      <c r="F170" s="7">
        <v>43250</v>
      </c>
      <c r="G170">
        <v>1</v>
      </c>
      <c r="H170" t="s">
        <v>27</v>
      </c>
      <c r="I170" t="s">
        <v>14</v>
      </c>
    </row>
    <row r="171" spans="1:9" x14ac:dyDescent="0.3">
      <c r="A171" t="s">
        <v>372</v>
      </c>
      <c r="B171" t="s">
        <v>373</v>
      </c>
      <c r="C171" t="s">
        <v>17</v>
      </c>
      <c r="D171" t="s">
        <v>37</v>
      </c>
      <c r="E171">
        <v>28974.03</v>
      </c>
      <c r="F171" s="7">
        <v>43733</v>
      </c>
      <c r="G171">
        <v>1</v>
      </c>
      <c r="H171" t="s">
        <v>13</v>
      </c>
      <c r="I171" t="s">
        <v>60</v>
      </c>
    </row>
    <row r="172" spans="1:9" x14ac:dyDescent="0.3">
      <c r="A172" t="s">
        <v>375</v>
      </c>
      <c r="B172" t="s">
        <v>605</v>
      </c>
      <c r="C172" t="s">
        <v>17</v>
      </c>
      <c r="D172" t="s">
        <v>18</v>
      </c>
      <c r="E172">
        <v>86233.83</v>
      </c>
      <c r="F172" s="7">
        <v>43706</v>
      </c>
      <c r="G172">
        <v>1</v>
      </c>
      <c r="H172" t="s">
        <v>27</v>
      </c>
      <c r="I172" t="s">
        <v>66</v>
      </c>
    </row>
    <row r="173" spans="1:9" x14ac:dyDescent="0.3">
      <c r="A173" t="s">
        <v>184</v>
      </c>
      <c r="B173" t="s">
        <v>185</v>
      </c>
      <c r="C173" t="s">
        <v>17</v>
      </c>
      <c r="D173" t="s">
        <v>93</v>
      </c>
      <c r="E173">
        <v>66865.490000000005</v>
      </c>
      <c r="F173" s="7">
        <v>43514</v>
      </c>
      <c r="G173">
        <v>1</v>
      </c>
      <c r="H173" t="s">
        <v>13</v>
      </c>
      <c r="I173" t="s">
        <v>19</v>
      </c>
    </row>
    <row r="174" spans="1:9" x14ac:dyDescent="0.3">
      <c r="A174" t="s">
        <v>377</v>
      </c>
      <c r="B174" t="s">
        <v>378</v>
      </c>
      <c r="C174" t="s">
        <v>11</v>
      </c>
      <c r="D174" t="s">
        <v>77</v>
      </c>
      <c r="E174">
        <v>119022.49</v>
      </c>
      <c r="F174" s="7">
        <v>44431</v>
      </c>
      <c r="G174">
        <v>1</v>
      </c>
      <c r="H174" t="s">
        <v>13</v>
      </c>
      <c r="I174" t="s">
        <v>60</v>
      </c>
    </row>
    <row r="175" spans="1:9" x14ac:dyDescent="0.3">
      <c r="A175" t="s">
        <v>379</v>
      </c>
      <c r="B175" t="s">
        <v>380</v>
      </c>
      <c r="C175" t="s">
        <v>17</v>
      </c>
      <c r="D175" t="s">
        <v>77</v>
      </c>
      <c r="E175">
        <v>114177.23</v>
      </c>
      <c r="F175" s="7">
        <v>43908</v>
      </c>
      <c r="G175">
        <v>1</v>
      </c>
      <c r="H175" t="s">
        <v>13</v>
      </c>
      <c r="I175" t="s">
        <v>35</v>
      </c>
    </row>
    <row r="176" spans="1:9" x14ac:dyDescent="0.3">
      <c r="A176" t="s">
        <v>382</v>
      </c>
      <c r="B176" t="s">
        <v>383</v>
      </c>
      <c r="C176" t="s">
        <v>17</v>
      </c>
      <c r="D176" t="s">
        <v>74</v>
      </c>
      <c r="E176">
        <v>100731.95</v>
      </c>
      <c r="F176" s="7">
        <v>43936</v>
      </c>
      <c r="G176">
        <v>1</v>
      </c>
      <c r="H176" t="s">
        <v>13</v>
      </c>
      <c r="I176" t="s">
        <v>60</v>
      </c>
    </row>
    <row r="177" spans="1:9" x14ac:dyDescent="0.3">
      <c r="A177" t="s">
        <v>385</v>
      </c>
      <c r="B177" t="s">
        <v>606</v>
      </c>
      <c r="C177" t="s">
        <v>17</v>
      </c>
      <c r="D177" t="s">
        <v>25</v>
      </c>
      <c r="E177">
        <v>86010.54</v>
      </c>
      <c r="F177" s="7">
        <v>43164</v>
      </c>
      <c r="G177">
        <v>1</v>
      </c>
      <c r="H177" t="s">
        <v>13</v>
      </c>
      <c r="I177" t="s">
        <v>66</v>
      </c>
    </row>
    <row r="178" spans="1:9" x14ac:dyDescent="0.3">
      <c r="A178" t="s">
        <v>386</v>
      </c>
      <c r="B178" t="s">
        <v>607</v>
      </c>
      <c r="C178" t="s">
        <v>11</v>
      </c>
      <c r="D178" t="s">
        <v>77</v>
      </c>
      <c r="E178">
        <v>52270.22</v>
      </c>
      <c r="F178" s="7">
        <v>43521</v>
      </c>
      <c r="G178">
        <v>0.3</v>
      </c>
      <c r="H178" t="s">
        <v>13</v>
      </c>
      <c r="I178" t="s">
        <v>66</v>
      </c>
    </row>
    <row r="179" spans="1:9" x14ac:dyDescent="0.3">
      <c r="A179" t="s">
        <v>387</v>
      </c>
      <c r="B179" t="s">
        <v>608</v>
      </c>
      <c r="C179" t="s">
        <v>11</v>
      </c>
      <c r="D179" t="s">
        <v>33</v>
      </c>
      <c r="E179">
        <v>61624.77</v>
      </c>
      <c r="F179" s="7">
        <v>43430</v>
      </c>
      <c r="G179">
        <v>0.3</v>
      </c>
      <c r="H179" t="s">
        <v>27</v>
      </c>
      <c r="I179" t="s">
        <v>30</v>
      </c>
    </row>
    <row r="180" spans="1:9" x14ac:dyDescent="0.3">
      <c r="A180" t="s">
        <v>388</v>
      </c>
      <c r="B180" t="s">
        <v>609</v>
      </c>
      <c r="C180" t="s">
        <v>17</v>
      </c>
      <c r="D180" t="s">
        <v>40</v>
      </c>
      <c r="E180">
        <v>104903.79</v>
      </c>
      <c r="F180" s="7">
        <v>43649</v>
      </c>
      <c r="G180">
        <v>1</v>
      </c>
      <c r="H180" t="s">
        <v>13</v>
      </c>
      <c r="I180" t="s">
        <v>66</v>
      </c>
    </row>
    <row r="181" spans="1:9" x14ac:dyDescent="0.3">
      <c r="A181" t="s">
        <v>179</v>
      </c>
      <c r="B181" t="s">
        <v>180</v>
      </c>
      <c r="C181" t="s">
        <v>17</v>
      </c>
      <c r="D181" t="s">
        <v>22</v>
      </c>
      <c r="E181">
        <v>69057.320000000007</v>
      </c>
      <c r="F181" s="7">
        <v>43390</v>
      </c>
      <c r="G181">
        <v>1</v>
      </c>
      <c r="H181" t="s">
        <v>13</v>
      </c>
      <c r="I181" t="s">
        <v>35</v>
      </c>
    </row>
    <row r="182" spans="1:9" x14ac:dyDescent="0.3">
      <c r="A182" t="s">
        <v>254</v>
      </c>
      <c r="B182" t="s">
        <v>255</v>
      </c>
      <c r="C182" t="s">
        <v>11</v>
      </c>
      <c r="D182" t="s">
        <v>37</v>
      </c>
      <c r="E182">
        <v>59258.19</v>
      </c>
      <c r="F182" s="7">
        <v>43452</v>
      </c>
      <c r="G182">
        <v>0.8</v>
      </c>
      <c r="H182" t="s">
        <v>13</v>
      </c>
      <c r="I182" t="s">
        <v>19</v>
      </c>
    </row>
    <row r="183" spans="1:9" x14ac:dyDescent="0.3">
      <c r="A183" t="s">
        <v>390</v>
      </c>
      <c r="B183" t="s">
        <v>391</v>
      </c>
      <c r="C183" t="s">
        <v>11</v>
      </c>
      <c r="D183" t="s">
        <v>43</v>
      </c>
      <c r="E183">
        <v>28160.79</v>
      </c>
      <c r="F183" s="7">
        <v>43129</v>
      </c>
      <c r="G183">
        <v>1</v>
      </c>
      <c r="H183" t="s">
        <v>59</v>
      </c>
      <c r="I183" t="s">
        <v>14</v>
      </c>
    </row>
    <row r="184" spans="1:9" x14ac:dyDescent="0.3">
      <c r="A184" t="s">
        <v>393</v>
      </c>
      <c r="B184" t="s">
        <v>394</v>
      </c>
      <c r="C184" t="s">
        <v>11</v>
      </c>
      <c r="D184" t="s">
        <v>637</v>
      </c>
      <c r="E184">
        <v>109143.17</v>
      </c>
      <c r="F184" s="7">
        <v>43945</v>
      </c>
      <c r="G184">
        <v>1</v>
      </c>
      <c r="H184" t="s">
        <v>13</v>
      </c>
      <c r="I184" t="s">
        <v>35</v>
      </c>
    </row>
    <row r="185" spans="1:9" x14ac:dyDescent="0.3">
      <c r="A185" t="s">
        <v>396</v>
      </c>
      <c r="B185" t="s">
        <v>610</v>
      </c>
      <c r="C185" t="s">
        <v>17</v>
      </c>
      <c r="D185" t="s">
        <v>40</v>
      </c>
      <c r="E185">
        <v>70755.5</v>
      </c>
      <c r="F185" s="7">
        <v>44090</v>
      </c>
      <c r="G185">
        <v>0.8</v>
      </c>
      <c r="H185" t="s">
        <v>59</v>
      </c>
      <c r="I185" t="s">
        <v>30</v>
      </c>
    </row>
    <row r="186" spans="1:9" x14ac:dyDescent="0.3">
      <c r="A186" t="s">
        <v>105</v>
      </c>
      <c r="B186" t="s">
        <v>106</v>
      </c>
      <c r="C186" t="s">
        <v>11</v>
      </c>
      <c r="D186" t="s">
        <v>18</v>
      </c>
      <c r="E186">
        <v>73360.38</v>
      </c>
      <c r="F186" s="7">
        <v>43972</v>
      </c>
      <c r="G186">
        <v>1</v>
      </c>
      <c r="H186" t="s">
        <v>59</v>
      </c>
      <c r="I186" t="s">
        <v>14</v>
      </c>
    </row>
    <row r="187" spans="1:9" x14ac:dyDescent="0.3">
      <c r="A187" t="s">
        <v>307</v>
      </c>
      <c r="B187" t="s">
        <v>611</v>
      </c>
      <c r="C187" t="s">
        <v>17</v>
      </c>
      <c r="D187" t="s">
        <v>77</v>
      </c>
      <c r="E187">
        <v>76303.820000000007</v>
      </c>
      <c r="F187" s="7">
        <v>43458</v>
      </c>
      <c r="G187">
        <v>1</v>
      </c>
      <c r="H187" t="s">
        <v>27</v>
      </c>
      <c r="I187" t="s">
        <v>30</v>
      </c>
    </row>
    <row r="188" spans="1:9" x14ac:dyDescent="0.3">
      <c r="A188" t="s">
        <v>398</v>
      </c>
      <c r="B188" t="s">
        <v>399</v>
      </c>
      <c r="C188" t="s">
        <v>17</v>
      </c>
      <c r="D188" t="s">
        <v>637</v>
      </c>
      <c r="E188">
        <v>58861.19</v>
      </c>
      <c r="F188" s="7">
        <v>43654</v>
      </c>
      <c r="G188">
        <v>1</v>
      </c>
      <c r="H188" t="s">
        <v>13</v>
      </c>
      <c r="I188" t="s">
        <v>55</v>
      </c>
    </row>
    <row r="189" spans="1:9" x14ac:dyDescent="0.3">
      <c r="A189" t="s">
        <v>401</v>
      </c>
      <c r="B189" t="s">
        <v>402</v>
      </c>
      <c r="C189" t="s">
        <v>17</v>
      </c>
      <c r="D189" t="s">
        <v>25</v>
      </c>
      <c r="E189">
        <v>58744.17</v>
      </c>
      <c r="F189" s="7">
        <v>43171</v>
      </c>
      <c r="G189">
        <v>1</v>
      </c>
      <c r="H189" t="s">
        <v>59</v>
      </c>
      <c r="I189" t="s">
        <v>55</v>
      </c>
    </row>
    <row r="190" spans="1:9" x14ac:dyDescent="0.3">
      <c r="A190" t="s">
        <v>403</v>
      </c>
      <c r="B190" t="s">
        <v>404</v>
      </c>
      <c r="C190" t="s">
        <v>17</v>
      </c>
      <c r="D190" t="s">
        <v>74</v>
      </c>
      <c r="E190">
        <v>73488.679999999993</v>
      </c>
      <c r="F190" s="7">
        <v>43570</v>
      </c>
      <c r="G190">
        <v>1</v>
      </c>
      <c r="H190" t="s">
        <v>27</v>
      </c>
      <c r="I190" t="s">
        <v>19</v>
      </c>
    </row>
    <row r="191" spans="1:9" x14ac:dyDescent="0.3">
      <c r="A191" t="s">
        <v>406</v>
      </c>
      <c r="B191" t="s">
        <v>407</v>
      </c>
      <c r="C191" t="s">
        <v>17</v>
      </c>
      <c r="D191" t="s">
        <v>74</v>
      </c>
      <c r="E191">
        <v>92704.48</v>
      </c>
      <c r="F191" s="7">
        <v>43430</v>
      </c>
      <c r="G191">
        <v>1</v>
      </c>
      <c r="H191" t="s">
        <v>27</v>
      </c>
      <c r="I191" t="s">
        <v>55</v>
      </c>
    </row>
    <row r="192" spans="1:9" x14ac:dyDescent="0.3">
      <c r="A192" t="s">
        <v>409</v>
      </c>
      <c r="B192" t="s">
        <v>612</v>
      </c>
      <c r="C192" t="s">
        <v>11</v>
      </c>
      <c r="D192" t="s">
        <v>33</v>
      </c>
      <c r="E192">
        <v>78443.78</v>
      </c>
      <c r="F192" s="7">
        <v>43599</v>
      </c>
      <c r="G192">
        <v>1</v>
      </c>
      <c r="H192" t="s">
        <v>27</v>
      </c>
      <c r="I192" t="s">
        <v>30</v>
      </c>
    </row>
    <row r="193" spans="1:9" x14ac:dyDescent="0.3">
      <c r="A193" t="s">
        <v>411</v>
      </c>
      <c r="B193" t="s">
        <v>412</v>
      </c>
      <c r="C193" t="s">
        <v>17</v>
      </c>
      <c r="D193" t="s">
        <v>33</v>
      </c>
      <c r="E193">
        <v>97105.19</v>
      </c>
      <c r="F193" s="7">
        <v>44425</v>
      </c>
      <c r="G193">
        <v>1</v>
      </c>
      <c r="H193" t="s">
        <v>13</v>
      </c>
      <c r="I193" t="s">
        <v>55</v>
      </c>
    </row>
    <row r="194" spans="1:9" x14ac:dyDescent="0.3">
      <c r="A194" t="s">
        <v>413</v>
      </c>
      <c r="B194" t="s">
        <v>414</v>
      </c>
      <c r="C194" t="s">
        <v>17</v>
      </c>
      <c r="D194" t="s">
        <v>22</v>
      </c>
      <c r="E194">
        <v>109163.39</v>
      </c>
      <c r="F194" s="7">
        <v>44019</v>
      </c>
      <c r="G194">
        <v>0.8</v>
      </c>
      <c r="H194" t="s">
        <v>13</v>
      </c>
      <c r="I194" t="s">
        <v>19</v>
      </c>
    </row>
    <row r="195" spans="1:9" x14ac:dyDescent="0.3">
      <c r="A195" t="s">
        <v>415</v>
      </c>
      <c r="B195" t="s">
        <v>416</v>
      </c>
      <c r="C195" t="s">
        <v>11</v>
      </c>
      <c r="D195" t="s">
        <v>40</v>
      </c>
      <c r="E195">
        <v>31816.57</v>
      </c>
      <c r="F195" s="7">
        <v>43497</v>
      </c>
      <c r="G195">
        <v>0.3</v>
      </c>
      <c r="H195" t="s">
        <v>27</v>
      </c>
      <c r="I195" t="s">
        <v>14</v>
      </c>
    </row>
    <row r="196" spans="1:9" x14ac:dyDescent="0.3">
      <c r="A196" t="s">
        <v>418</v>
      </c>
      <c r="B196" t="s">
        <v>419</v>
      </c>
      <c r="C196" t="s">
        <v>17</v>
      </c>
      <c r="D196" t="s">
        <v>637</v>
      </c>
      <c r="E196">
        <v>118442.54</v>
      </c>
      <c r="F196" s="7">
        <v>44193</v>
      </c>
      <c r="G196">
        <v>1</v>
      </c>
      <c r="H196" t="s">
        <v>13</v>
      </c>
      <c r="I196" t="s">
        <v>60</v>
      </c>
    </row>
    <row r="197" spans="1:9" x14ac:dyDescent="0.3">
      <c r="A197" t="s">
        <v>420</v>
      </c>
      <c r="B197" t="s">
        <v>421</v>
      </c>
      <c r="C197" t="s">
        <v>17</v>
      </c>
      <c r="D197" t="s">
        <v>25</v>
      </c>
      <c r="E197">
        <v>84745.93</v>
      </c>
      <c r="F197" s="7">
        <v>43707</v>
      </c>
      <c r="G197">
        <v>1</v>
      </c>
      <c r="H197" t="s">
        <v>13</v>
      </c>
      <c r="I197" t="s">
        <v>35</v>
      </c>
    </row>
    <row r="198" spans="1:9" x14ac:dyDescent="0.3">
      <c r="A198" t="s">
        <v>122</v>
      </c>
      <c r="B198" t="s">
        <v>123</v>
      </c>
      <c r="C198" t="s">
        <v>17</v>
      </c>
      <c r="D198" t="s">
        <v>77</v>
      </c>
      <c r="E198">
        <v>69163.39</v>
      </c>
      <c r="F198" s="7">
        <v>43397</v>
      </c>
      <c r="G198">
        <v>1</v>
      </c>
      <c r="H198" t="s">
        <v>13</v>
      </c>
      <c r="I198" t="s">
        <v>14</v>
      </c>
    </row>
    <row r="199" spans="1:9" x14ac:dyDescent="0.3">
      <c r="A199" t="s">
        <v>358</v>
      </c>
      <c r="B199" t="s">
        <v>359</v>
      </c>
      <c r="C199" t="s">
        <v>17</v>
      </c>
      <c r="D199" t="s">
        <v>80</v>
      </c>
      <c r="E199">
        <v>84598.88</v>
      </c>
      <c r="F199" s="7">
        <v>44116</v>
      </c>
      <c r="G199">
        <v>1</v>
      </c>
      <c r="H199" t="s">
        <v>27</v>
      </c>
      <c r="I199" t="s">
        <v>19</v>
      </c>
    </row>
    <row r="200" spans="1:9" x14ac:dyDescent="0.3">
      <c r="A200" t="s">
        <v>423</v>
      </c>
      <c r="B200" t="s">
        <v>424</v>
      </c>
      <c r="C200" t="s">
        <v>17</v>
      </c>
      <c r="D200" t="s">
        <v>93</v>
      </c>
      <c r="E200">
        <v>68795.48</v>
      </c>
      <c r="F200" s="7">
        <v>44277</v>
      </c>
      <c r="G200">
        <v>0.2</v>
      </c>
      <c r="H200" t="s">
        <v>13</v>
      </c>
      <c r="I200" t="s">
        <v>14</v>
      </c>
    </row>
    <row r="201" spans="1:9" x14ac:dyDescent="0.3">
      <c r="A201" t="s">
        <v>425</v>
      </c>
      <c r="B201" t="s">
        <v>426</v>
      </c>
      <c r="C201" t="s">
        <v>17</v>
      </c>
      <c r="D201" t="s">
        <v>22</v>
      </c>
      <c r="E201">
        <v>32269.91</v>
      </c>
      <c r="F201" s="7">
        <v>43346</v>
      </c>
      <c r="G201">
        <v>1</v>
      </c>
      <c r="H201" t="s">
        <v>13</v>
      </c>
      <c r="I201" t="s">
        <v>14</v>
      </c>
    </row>
    <row r="202" spans="1:9" x14ac:dyDescent="0.3">
      <c r="A202" t="s">
        <v>427</v>
      </c>
      <c r="B202" t="s">
        <v>428</v>
      </c>
      <c r="C202" t="s">
        <v>11</v>
      </c>
      <c r="D202" t="s">
        <v>43</v>
      </c>
      <c r="E202">
        <v>78705.929999999993</v>
      </c>
      <c r="F202" s="7">
        <v>43409</v>
      </c>
      <c r="G202">
        <v>1</v>
      </c>
      <c r="H202" t="s">
        <v>27</v>
      </c>
      <c r="I202" t="s">
        <v>19</v>
      </c>
    </row>
    <row r="203" spans="1:9" x14ac:dyDescent="0.3">
      <c r="A203" t="s">
        <v>430</v>
      </c>
      <c r="B203" t="s">
        <v>431</v>
      </c>
      <c r="C203" t="s">
        <v>11</v>
      </c>
      <c r="D203" t="s">
        <v>40</v>
      </c>
      <c r="E203">
        <v>53535.62</v>
      </c>
      <c r="F203" s="7">
        <v>44110</v>
      </c>
      <c r="G203">
        <v>0.5</v>
      </c>
      <c r="H203" t="s">
        <v>27</v>
      </c>
      <c r="I203" t="s">
        <v>19</v>
      </c>
    </row>
    <row r="204" spans="1:9" x14ac:dyDescent="0.3">
      <c r="A204" t="s">
        <v>433</v>
      </c>
      <c r="B204" t="s">
        <v>434</v>
      </c>
      <c r="C204" t="s">
        <v>17</v>
      </c>
      <c r="D204" t="s">
        <v>80</v>
      </c>
      <c r="E204">
        <v>41934.71</v>
      </c>
      <c r="F204" s="7">
        <v>43780</v>
      </c>
      <c r="G204">
        <v>1</v>
      </c>
      <c r="H204" t="s">
        <v>13</v>
      </c>
      <c r="I204" t="s">
        <v>14</v>
      </c>
    </row>
    <row r="205" spans="1:9" x14ac:dyDescent="0.3">
      <c r="A205" t="s">
        <v>435</v>
      </c>
      <c r="B205" t="s">
        <v>436</v>
      </c>
      <c r="C205" t="s">
        <v>17</v>
      </c>
      <c r="D205" t="s">
        <v>93</v>
      </c>
      <c r="E205">
        <v>91929.69</v>
      </c>
      <c r="F205" s="7">
        <v>44085</v>
      </c>
      <c r="G205">
        <v>1</v>
      </c>
      <c r="H205" t="s">
        <v>27</v>
      </c>
      <c r="I205" t="s">
        <v>14</v>
      </c>
    </row>
    <row r="206" spans="1:9" x14ac:dyDescent="0.3">
      <c r="A206" t="s">
        <v>437</v>
      </c>
      <c r="B206" t="s">
        <v>438</v>
      </c>
      <c r="C206" t="s">
        <v>11</v>
      </c>
      <c r="D206" t="s">
        <v>43</v>
      </c>
      <c r="E206">
        <v>62281.24</v>
      </c>
      <c r="F206" s="7">
        <v>43272</v>
      </c>
      <c r="G206">
        <v>1</v>
      </c>
      <c r="H206" t="s">
        <v>13</v>
      </c>
      <c r="I206" t="s">
        <v>14</v>
      </c>
    </row>
    <row r="207" spans="1:9" x14ac:dyDescent="0.3">
      <c r="A207" t="s">
        <v>439</v>
      </c>
      <c r="B207" t="s">
        <v>440</v>
      </c>
      <c r="C207" t="s">
        <v>11</v>
      </c>
      <c r="D207" t="s">
        <v>77</v>
      </c>
      <c r="E207">
        <v>57925.91</v>
      </c>
      <c r="F207" s="7">
        <v>43572</v>
      </c>
      <c r="G207">
        <v>0.5</v>
      </c>
      <c r="H207" t="s">
        <v>13</v>
      </c>
      <c r="I207" t="s">
        <v>35</v>
      </c>
    </row>
    <row r="208" spans="1:9" x14ac:dyDescent="0.3">
      <c r="A208" t="s">
        <v>442</v>
      </c>
      <c r="B208" t="s">
        <v>443</v>
      </c>
      <c r="C208" t="s">
        <v>11</v>
      </c>
      <c r="D208" t="s">
        <v>33</v>
      </c>
      <c r="E208">
        <v>82239.53</v>
      </c>
      <c r="F208" s="7">
        <v>43846</v>
      </c>
      <c r="G208">
        <v>1</v>
      </c>
      <c r="H208" t="s">
        <v>59</v>
      </c>
      <c r="I208" t="s">
        <v>55</v>
      </c>
    </row>
    <row r="209" spans="1:9" x14ac:dyDescent="0.3">
      <c r="A209" t="s">
        <v>444</v>
      </c>
      <c r="B209" t="s">
        <v>445</v>
      </c>
      <c r="C209" t="s">
        <v>11</v>
      </c>
      <c r="D209" t="s">
        <v>33</v>
      </c>
      <c r="E209">
        <v>53184.02</v>
      </c>
      <c r="F209" s="7">
        <v>43180</v>
      </c>
      <c r="G209">
        <v>1</v>
      </c>
      <c r="H209" t="s">
        <v>27</v>
      </c>
      <c r="I209" t="s">
        <v>14</v>
      </c>
    </row>
    <row r="210" spans="1:9" x14ac:dyDescent="0.3">
      <c r="A210" t="s">
        <v>447</v>
      </c>
      <c r="B210" t="s">
        <v>613</v>
      </c>
      <c r="C210" t="s">
        <v>11</v>
      </c>
      <c r="D210" t="s">
        <v>77</v>
      </c>
      <c r="E210">
        <v>35936.31</v>
      </c>
      <c r="F210" s="7">
        <v>43241</v>
      </c>
      <c r="G210">
        <v>1</v>
      </c>
      <c r="H210" t="s">
        <v>13</v>
      </c>
      <c r="I210" t="s">
        <v>66</v>
      </c>
    </row>
    <row r="211" spans="1:9" x14ac:dyDescent="0.3">
      <c r="A211" t="s">
        <v>448</v>
      </c>
      <c r="B211" t="s">
        <v>449</v>
      </c>
      <c r="C211" t="s">
        <v>17</v>
      </c>
      <c r="D211" t="s">
        <v>22</v>
      </c>
      <c r="E211">
        <v>28305.08</v>
      </c>
      <c r="F211" s="7">
        <v>43754</v>
      </c>
      <c r="G211">
        <v>1</v>
      </c>
      <c r="H211" t="s">
        <v>13</v>
      </c>
      <c r="I211" t="s">
        <v>14</v>
      </c>
    </row>
    <row r="212" spans="1:9" x14ac:dyDescent="0.3">
      <c r="A212" t="s">
        <v>450</v>
      </c>
      <c r="B212" t="s">
        <v>451</v>
      </c>
      <c r="C212" t="s">
        <v>11</v>
      </c>
      <c r="D212" t="s">
        <v>99</v>
      </c>
      <c r="E212">
        <v>29774.76</v>
      </c>
      <c r="F212" s="7">
        <v>44105</v>
      </c>
      <c r="G212">
        <v>1</v>
      </c>
      <c r="H212" t="s">
        <v>13</v>
      </c>
      <c r="I212" t="s">
        <v>35</v>
      </c>
    </row>
    <row r="213" spans="1:9" x14ac:dyDescent="0.3">
      <c r="A213" t="s">
        <v>453</v>
      </c>
      <c r="B213" t="s">
        <v>614</v>
      </c>
      <c r="C213" t="s">
        <v>11</v>
      </c>
      <c r="D213" t="s">
        <v>77</v>
      </c>
      <c r="E213">
        <v>102515.81</v>
      </c>
      <c r="F213" s="7">
        <v>43902</v>
      </c>
      <c r="G213">
        <v>1</v>
      </c>
      <c r="H213" t="s">
        <v>27</v>
      </c>
      <c r="I213" t="s">
        <v>66</v>
      </c>
    </row>
    <row r="214" spans="1:9" x14ac:dyDescent="0.3">
      <c r="A214" t="s">
        <v>181</v>
      </c>
      <c r="B214" t="s">
        <v>182</v>
      </c>
      <c r="D214" t="s">
        <v>74</v>
      </c>
      <c r="E214">
        <v>99448.78</v>
      </c>
      <c r="F214" s="7">
        <v>43473</v>
      </c>
      <c r="G214">
        <v>1</v>
      </c>
      <c r="H214" t="s">
        <v>27</v>
      </c>
      <c r="I214" t="s">
        <v>35</v>
      </c>
    </row>
    <row r="215" spans="1:9" x14ac:dyDescent="0.3">
      <c r="A215" t="s">
        <v>423</v>
      </c>
      <c r="B215" t="s">
        <v>424</v>
      </c>
      <c r="C215" t="s">
        <v>17</v>
      </c>
      <c r="D215" t="s">
        <v>93</v>
      </c>
      <c r="E215">
        <v>68795.48</v>
      </c>
      <c r="F215" s="7">
        <v>44277</v>
      </c>
      <c r="G215">
        <v>0.2</v>
      </c>
      <c r="H215" t="s">
        <v>13</v>
      </c>
      <c r="I215" t="s">
        <v>14</v>
      </c>
    </row>
    <row r="216" spans="1:9" x14ac:dyDescent="0.3">
      <c r="A216" t="s">
        <v>235</v>
      </c>
      <c r="B216" t="s">
        <v>236</v>
      </c>
      <c r="C216" t="s">
        <v>17</v>
      </c>
      <c r="D216" t="s">
        <v>43</v>
      </c>
      <c r="E216">
        <v>99683.67</v>
      </c>
      <c r="F216" s="7">
        <v>43500</v>
      </c>
      <c r="G216">
        <v>1</v>
      </c>
      <c r="H216" t="s">
        <v>27</v>
      </c>
      <c r="I216" t="s">
        <v>19</v>
      </c>
    </row>
    <row r="217" spans="1:9" x14ac:dyDescent="0.3">
      <c r="A217" t="s">
        <v>454</v>
      </c>
      <c r="B217" t="s">
        <v>455</v>
      </c>
      <c r="C217" t="s">
        <v>11</v>
      </c>
      <c r="D217" t="s">
        <v>77</v>
      </c>
      <c r="E217">
        <v>38825.18</v>
      </c>
      <c r="F217" s="7">
        <v>43696</v>
      </c>
      <c r="G217">
        <v>1</v>
      </c>
      <c r="H217" t="s">
        <v>59</v>
      </c>
      <c r="I217" t="s">
        <v>14</v>
      </c>
    </row>
    <row r="218" spans="1:9" x14ac:dyDescent="0.3">
      <c r="A218" t="s">
        <v>456</v>
      </c>
      <c r="B218" t="s">
        <v>615</v>
      </c>
      <c r="C218" t="s">
        <v>17</v>
      </c>
      <c r="D218" t="s">
        <v>22</v>
      </c>
      <c r="E218">
        <v>71229.42</v>
      </c>
      <c r="F218" s="7">
        <v>44166</v>
      </c>
      <c r="G218">
        <v>1</v>
      </c>
      <c r="H218" t="s">
        <v>13</v>
      </c>
      <c r="I218" t="s">
        <v>30</v>
      </c>
    </row>
    <row r="219" spans="1:9" x14ac:dyDescent="0.3">
      <c r="A219" t="s">
        <v>457</v>
      </c>
      <c r="B219" t="s">
        <v>219</v>
      </c>
      <c r="C219" t="s">
        <v>17</v>
      </c>
      <c r="D219" t="s">
        <v>18</v>
      </c>
      <c r="E219">
        <v>80695.740000000005</v>
      </c>
      <c r="F219" s="7">
        <v>43360</v>
      </c>
      <c r="G219">
        <v>1</v>
      </c>
      <c r="H219" t="s">
        <v>13</v>
      </c>
      <c r="I219" t="s">
        <v>55</v>
      </c>
    </row>
    <row r="220" spans="1:9" x14ac:dyDescent="0.3">
      <c r="A220" t="s">
        <v>458</v>
      </c>
      <c r="B220" t="s">
        <v>459</v>
      </c>
      <c r="C220" t="s">
        <v>17</v>
      </c>
      <c r="D220" t="s">
        <v>93</v>
      </c>
      <c r="E220">
        <v>72502.61</v>
      </c>
      <c r="F220" s="7">
        <v>44235</v>
      </c>
      <c r="G220">
        <v>1</v>
      </c>
      <c r="H220" t="s">
        <v>13</v>
      </c>
      <c r="I220" t="s">
        <v>35</v>
      </c>
    </row>
    <row r="221" spans="1:9" x14ac:dyDescent="0.3">
      <c r="A221" t="s">
        <v>460</v>
      </c>
      <c r="B221" t="s">
        <v>461</v>
      </c>
      <c r="C221" t="s">
        <v>17</v>
      </c>
      <c r="D221" t="s">
        <v>93</v>
      </c>
      <c r="E221">
        <v>68197.899999999994</v>
      </c>
      <c r="F221" s="7">
        <v>44119</v>
      </c>
      <c r="G221">
        <v>1</v>
      </c>
      <c r="H221" t="s">
        <v>13</v>
      </c>
      <c r="I221" t="s">
        <v>60</v>
      </c>
    </row>
    <row r="222" spans="1:9" x14ac:dyDescent="0.3">
      <c r="A222" t="s">
        <v>462</v>
      </c>
      <c r="B222" t="s">
        <v>463</v>
      </c>
      <c r="C222" t="s">
        <v>17</v>
      </c>
      <c r="D222" t="s">
        <v>77</v>
      </c>
      <c r="F222" s="7">
        <v>43501</v>
      </c>
      <c r="G222">
        <v>1</v>
      </c>
      <c r="H222" t="s">
        <v>27</v>
      </c>
      <c r="I222" t="s">
        <v>55</v>
      </c>
    </row>
    <row r="223" spans="1:9" x14ac:dyDescent="0.3">
      <c r="A223" t="s">
        <v>465</v>
      </c>
      <c r="B223" t="s">
        <v>466</v>
      </c>
      <c r="C223" t="s">
        <v>11</v>
      </c>
      <c r="D223" t="s">
        <v>93</v>
      </c>
      <c r="E223">
        <v>89960.6</v>
      </c>
      <c r="F223" s="7">
        <v>43515</v>
      </c>
      <c r="G223">
        <v>1</v>
      </c>
      <c r="H223" t="s">
        <v>27</v>
      </c>
      <c r="I223" t="s">
        <v>60</v>
      </c>
    </row>
    <row r="224" spans="1:9" x14ac:dyDescent="0.3">
      <c r="A224" t="s">
        <v>467</v>
      </c>
      <c r="B224" t="s">
        <v>468</v>
      </c>
      <c r="C224" t="s">
        <v>11</v>
      </c>
      <c r="D224" t="s">
        <v>33</v>
      </c>
      <c r="F224" s="7">
        <v>44207</v>
      </c>
      <c r="G224">
        <v>0.7</v>
      </c>
      <c r="H224" t="s">
        <v>13</v>
      </c>
      <c r="I224" t="s">
        <v>19</v>
      </c>
    </row>
    <row r="225" spans="1:9" x14ac:dyDescent="0.3">
      <c r="A225" t="s">
        <v>351</v>
      </c>
      <c r="B225" t="s">
        <v>616</v>
      </c>
      <c r="C225" t="s">
        <v>11</v>
      </c>
      <c r="D225" t="s">
        <v>99</v>
      </c>
      <c r="E225">
        <v>28481.16</v>
      </c>
      <c r="F225" s="7">
        <v>43916</v>
      </c>
      <c r="G225">
        <v>1</v>
      </c>
      <c r="H225" t="s">
        <v>13</v>
      </c>
      <c r="I225" t="s">
        <v>30</v>
      </c>
    </row>
    <row r="226" spans="1:9" x14ac:dyDescent="0.3">
      <c r="A226" t="s">
        <v>154</v>
      </c>
      <c r="B226" t="s">
        <v>617</v>
      </c>
      <c r="C226" t="s">
        <v>17</v>
      </c>
      <c r="D226" t="s">
        <v>25</v>
      </c>
      <c r="E226">
        <v>116767.63</v>
      </c>
      <c r="F226" s="7">
        <v>43949</v>
      </c>
      <c r="G226">
        <v>0.4</v>
      </c>
      <c r="H226" t="s">
        <v>59</v>
      </c>
      <c r="I226" t="s">
        <v>66</v>
      </c>
    </row>
    <row r="227" spans="1:9" x14ac:dyDescent="0.3">
      <c r="A227" t="s">
        <v>469</v>
      </c>
      <c r="B227" t="s">
        <v>470</v>
      </c>
      <c r="C227" t="s">
        <v>11</v>
      </c>
      <c r="D227" t="s">
        <v>93</v>
      </c>
      <c r="E227">
        <v>80360.41</v>
      </c>
      <c r="F227" s="7">
        <v>44167</v>
      </c>
      <c r="G227">
        <v>1</v>
      </c>
      <c r="H227" t="s">
        <v>13</v>
      </c>
      <c r="I227" t="s">
        <v>14</v>
      </c>
    </row>
    <row r="228" spans="1:9" x14ac:dyDescent="0.3">
      <c r="A228" t="s">
        <v>472</v>
      </c>
      <c r="B228" t="s">
        <v>473</v>
      </c>
      <c r="C228" t="s">
        <v>17</v>
      </c>
      <c r="D228" t="s">
        <v>80</v>
      </c>
      <c r="E228">
        <v>77045.440000000002</v>
      </c>
      <c r="F228" s="7">
        <v>43636</v>
      </c>
      <c r="G228">
        <v>1</v>
      </c>
      <c r="H228" t="s">
        <v>13</v>
      </c>
      <c r="I228" t="s">
        <v>14</v>
      </c>
    </row>
    <row r="229" spans="1:9" x14ac:dyDescent="0.3">
      <c r="A229" t="s">
        <v>475</v>
      </c>
      <c r="B229" t="s">
        <v>476</v>
      </c>
      <c r="C229" t="s">
        <v>17</v>
      </c>
      <c r="D229" t="s">
        <v>25</v>
      </c>
      <c r="E229">
        <v>96135.75</v>
      </c>
      <c r="F229" s="7">
        <v>44025</v>
      </c>
      <c r="G229">
        <v>0.3</v>
      </c>
      <c r="H229" t="s">
        <v>13</v>
      </c>
      <c r="I229" t="s">
        <v>35</v>
      </c>
    </row>
    <row r="230" spans="1:9" x14ac:dyDescent="0.3">
      <c r="A230" t="s">
        <v>478</v>
      </c>
      <c r="B230" t="s">
        <v>479</v>
      </c>
      <c r="C230" t="s">
        <v>17</v>
      </c>
      <c r="D230" t="s">
        <v>80</v>
      </c>
      <c r="E230">
        <v>102129.37</v>
      </c>
      <c r="F230" s="7">
        <v>44396</v>
      </c>
      <c r="G230">
        <v>1</v>
      </c>
      <c r="H230" t="s">
        <v>13</v>
      </c>
      <c r="I230" t="s">
        <v>55</v>
      </c>
    </row>
    <row r="231" spans="1:9" x14ac:dyDescent="0.3">
      <c r="A231" t="s">
        <v>480</v>
      </c>
      <c r="B231" t="s">
        <v>481</v>
      </c>
      <c r="C231" t="s">
        <v>17</v>
      </c>
      <c r="D231" t="s">
        <v>25</v>
      </c>
      <c r="E231">
        <v>99965.97</v>
      </c>
      <c r="F231" s="7">
        <v>43133</v>
      </c>
      <c r="G231">
        <v>1</v>
      </c>
      <c r="H231" t="s">
        <v>13</v>
      </c>
      <c r="I231" t="s">
        <v>14</v>
      </c>
    </row>
    <row r="232" spans="1:9" x14ac:dyDescent="0.3">
      <c r="A232" t="s">
        <v>483</v>
      </c>
      <c r="B232" t="s">
        <v>484</v>
      </c>
      <c r="C232" t="s">
        <v>17</v>
      </c>
      <c r="D232" t="s">
        <v>93</v>
      </c>
      <c r="E232">
        <v>49625.64</v>
      </c>
      <c r="F232" s="7">
        <v>44384</v>
      </c>
      <c r="G232">
        <v>0.5</v>
      </c>
      <c r="H232" t="s">
        <v>27</v>
      </c>
      <c r="I232" t="s">
        <v>14</v>
      </c>
    </row>
    <row r="233" spans="1:9" x14ac:dyDescent="0.3">
      <c r="A233" t="s">
        <v>485</v>
      </c>
      <c r="B233" t="s">
        <v>486</v>
      </c>
      <c r="C233" t="s">
        <v>17</v>
      </c>
      <c r="D233" t="s">
        <v>33</v>
      </c>
      <c r="E233">
        <v>94815.28</v>
      </c>
      <c r="F233" s="7">
        <v>43440</v>
      </c>
      <c r="G233">
        <v>1</v>
      </c>
      <c r="H233" t="s">
        <v>13</v>
      </c>
      <c r="I233" t="s">
        <v>19</v>
      </c>
    </row>
    <row r="234" spans="1:9" x14ac:dyDescent="0.3">
      <c r="A234" t="s">
        <v>488</v>
      </c>
      <c r="B234" t="s">
        <v>618</v>
      </c>
      <c r="C234" t="s">
        <v>11</v>
      </c>
      <c r="D234" t="s">
        <v>37</v>
      </c>
      <c r="E234">
        <v>36714.379999999997</v>
      </c>
      <c r="F234" s="7">
        <v>44175</v>
      </c>
      <c r="G234">
        <v>1</v>
      </c>
      <c r="H234" t="s">
        <v>13</v>
      </c>
      <c r="I234" t="s">
        <v>66</v>
      </c>
    </row>
    <row r="235" spans="1:9" x14ac:dyDescent="0.3">
      <c r="A235" t="s">
        <v>489</v>
      </c>
      <c r="B235" t="s">
        <v>490</v>
      </c>
      <c r="C235" t="s">
        <v>17</v>
      </c>
      <c r="D235" t="s">
        <v>40</v>
      </c>
      <c r="E235">
        <v>67905.8</v>
      </c>
      <c r="F235" s="7">
        <v>44194</v>
      </c>
      <c r="G235">
        <v>1</v>
      </c>
      <c r="H235" t="s">
        <v>13</v>
      </c>
      <c r="I235" t="s">
        <v>14</v>
      </c>
    </row>
    <row r="236" spans="1:9" x14ac:dyDescent="0.3">
      <c r="A236" t="s">
        <v>491</v>
      </c>
      <c r="B236" t="s">
        <v>492</v>
      </c>
      <c r="C236" t="s">
        <v>11</v>
      </c>
      <c r="D236" t="s">
        <v>74</v>
      </c>
      <c r="E236">
        <v>69862.38</v>
      </c>
      <c r="F236" s="7">
        <v>43458</v>
      </c>
      <c r="G236">
        <v>1</v>
      </c>
      <c r="H236" t="s">
        <v>13</v>
      </c>
      <c r="I236" t="s">
        <v>35</v>
      </c>
    </row>
    <row r="237" spans="1:9" x14ac:dyDescent="0.3">
      <c r="A237" t="s">
        <v>302</v>
      </c>
      <c r="B237" t="s">
        <v>303</v>
      </c>
      <c r="C237" t="s">
        <v>11</v>
      </c>
      <c r="D237" t="s">
        <v>77</v>
      </c>
      <c r="E237">
        <v>36547.58</v>
      </c>
      <c r="F237" s="7">
        <v>43416</v>
      </c>
      <c r="G237">
        <v>1</v>
      </c>
      <c r="H237" t="s">
        <v>13</v>
      </c>
      <c r="I237" t="s">
        <v>14</v>
      </c>
    </row>
    <row r="238" spans="1:9" x14ac:dyDescent="0.3">
      <c r="A238" t="s">
        <v>494</v>
      </c>
      <c r="B238" t="s">
        <v>619</v>
      </c>
      <c r="C238" t="s">
        <v>11</v>
      </c>
      <c r="D238" t="s">
        <v>18</v>
      </c>
      <c r="E238">
        <v>106400.02</v>
      </c>
      <c r="F238" s="7">
        <v>44021</v>
      </c>
      <c r="G238">
        <v>1</v>
      </c>
      <c r="H238" t="s">
        <v>59</v>
      </c>
      <c r="I238" t="s">
        <v>66</v>
      </c>
    </row>
    <row r="239" spans="1:9" x14ac:dyDescent="0.3">
      <c r="A239" t="s">
        <v>496</v>
      </c>
      <c r="B239" t="s">
        <v>497</v>
      </c>
      <c r="C239" t="s">
        <v>11</v>
      </c>
      <c r="D239" t="s">
        <v>74</v>
      </c>
      <c r="E239">
        <v>103494.94</v>
      </c>
      <c r="F239" s="7">
        <v>43256</v>
      </c>
      <c r="G239">
        <v>1</v>
      </c>
      <c r="H239" t="s">
        <v>13</v>
      </c>
      <c r="I239" t="s">
        <v>14</v>
      </c>
    </row>
    <row r="240" spans="1:9" x14ac:dyDescent="0.3">
      <c r="A240" t="s">
        <v>370</v>
      </c>
      <c r="B240" t="s">
        <v>371</v>
      </c>
      <c r="C240" t="s">
        <v>11</v>
      </c>
      <c r="D240" t="s">
        <v>80</v>
      </c>
      <c r="E240">
        <v>96753.78</v>
      </c>
      <c r="F240" s="7">
        <v>44494</v>
      </c>
      <c r="G240">
        <v>1</v>
      </c>
      <c r="H240" t="s">
        <v>13</v>
      </c>
      <c r="I240" t="s">
        <v>60</v>
      </c>
    </row>
    <row r="241" spans="1:9" x14ac:dyDescent="0.3">
      <c r="A241" t="s">
        <v>457</v>
      </c>
      <c r="B241" t="s">
        <v>219</v>
      </c>
      <c r="C241" t="s">
        <v>17</v>
      </c>
      <c r="D241" t="s">
        <v>18</v>
      </c>
      <c r="E241">
        <v>80695.740000000005</v>
      </c>
      <c r="F241" s="7">
        <v>43360</v>
      </c>
      <c r="G241">
        <v>1</v>
      </c>
      <c r="H241" t="s">
        <v>13</v>
      </c>
      <c r="I241" t="s">
        <v>55</v>
      </c>
    </row>
    <row r="242" spans="1:9" x14ac:dyDescent="0.3">
      <c r="A242" t="s">
        <v>499</v>
      </c>
      <c r="B242" t="s">
        <v>620</v>
      </c>
      <c r="C242" t="s">
        <v>17</v>
      </c>
      <c r="D242" t="s">
        <v>99</v>
      </c>
      <c r="E242">
        <v>61213.01</v>
      </c>
      <c r="F242" s="7">
        <v>44365</v>
      </c>
      <c r="G242">
        <v>1</v>
      </c>
      <c r="H242" t="s">
        <v>13</v>
      </c>
      <c r="I242" t="s">
        <v>66</v>
      </c>
    </row>
    <row r="243" spans="1:9" x14ac:dyDescent="0.3">
      <c r="A243" t="s">
        <v>501</v>
      </c>
      <c r="B243" t="s">
        <v>621</v>
      </c>
      <c r="C243" t="s">
        <v>11</v>
      </c>
      <c r="D243" t="s">
        <v>43</v>
      </c>
      <c r="E243">
        <v>69709.509999999995</v>
      </c>
      <c r="F243" s="7">
        <v>43472</v>
      </c>
      <c r="G243">
        <v>1</v>
      </c>
      <c r="H243" t="s">
        <v>13</v>
      </c>
      <c r="I243" t="s">
        <v>30</v>
      </c>
    </row>
    <row r="244" spans="1:9" x14ac:dyDescent="0.3">
      <c r="A244" t="s">
        <v>503</v>
      </c>
      <c r="B244" t="s">
        <v>622</v>
      </c>
      <c r="C244" t="s">
        <v>17</v>
      </c>
      <c r="D244" t="s">
        <v>43</v>
      </c>
      <c r="E244">
        <v>46751.7</v>
      </c>
      <c r="F244" s="7">
        <v>43843</v>
      </c>
      <c r="G244">
        <v>1</v>
      </c>
      <c r="H244" t="s">
        <v>27</v>
      </c>
      <c r="I244" t="s">
        <v>30</v>
      </c>
    </row>
    <row r="245" spans="1:9" x14ac:dyDescent="0.3">
      <c r="A245" t="s">
        <v>504</v>
      </c>
      <c r="B245" t="s">
        <v>623</v>
      </c>
      <c r="C245" t="s">
        <v>11</v>
      </c>
      <c r="D245" t="s">
        <v>22</v>
      </c>
      <c r="E245">
        <v>77096.05</v>
      </c>
      <c r="F245" s="7">
        <v>43217</v>
      </c>
      <c r="G245">
        <v>1</v>
      </c>
      <c r="H245" t="s">
        <v>13</v>
      </c>
      <c r="I245" t="s">
        <v>66</v>
      </c>
    </row>
    <row r="246" spans="1:9" x14ac:dyDescent="0.3">
      <c r="A246" t="s">
        <v>141</v>
      </c>
      <c r="B246" t="s">
        <v>142</v>
      </c>
      <c r="C246" t="s">
        <v>17</v>
      </c>
      <c r="D246" t="s">
        <v>93</v>
      </c>
      <c r="E246">
        <v>67818.14</v>
      </c>
      <c r="F246" s="7">
        <v>43406</v>
      </c>
      <c r="G246">
        <v>0.6</v>
      </c>
      <c r="H246" t="s">
        <v>27</v>
      </c>
      <c r="I246" t="s">
        <v>14</v>
      </c>
    </row>
    <row r="247" spans="1:9" x14ac:dyDescent="0.3">
      <c r="A247" t="s">
        <v>505</v>
      </c>
      <c r="B247" t="s">
        <v>624</v>
      </c>
      <c r="C247" t="s">
        <v>11</v>
      </c>
      <c r="D247" t="s">
        <v>93</v>
      </c>
      <c r="E247">
        <v>77743.149999999994</v>
      </c>
      <c r="F247" s="7">
        <v>43920</v>
      </c>
      <c r="G247">
        <v>1</v>
      </c>
      <c r="H247" t="s">
        <v>13</v>
      </c>
      <c r="I247" t="s">
        <v>66</v>
      </c>
    </row>
    <row r="248" spans="1:9" x14ac:dyDescent="0.3">
      <c r="A248" t="s">
        <v>507</v>
      </c>
      <c r="B248" t="s">
        <v>625</v>
      </c>
      <c r="C248" t="s">
        <v>11</v>
      </c>
      <c r="D248" t="s">
        <v>74</v>
      </c>
      <c r="E248">
        <v>48525.71</v>
      </c>
      <c r="F248" s="7">
        <v>43264</v>
      </c>
      <c r="G248">
        <v>1</v>
      </c>
      <c r="H248" t="s">
        <v>13</v>
      </c>
      <c r="I248" t="s">
        <v>30</v>
      </c>
    </row>
    <row r="249" spans="1:9" x14ac:dyDescent="0.3">
      <c r="A249" t="s">
        <v>496</v>
      </c>
      <c r="B249" t="s">
        <v>497</v>
      </c>
      <c r="C249" t="s">
        <v>11</v>
      </c>
      <c r="D249" t="s">
        <v>74</v>
      </c>
      <c r="E249">
        <v>103494.94</v>
      </c>
      <c r="F249" s="7">
        <v>43256</v>
      </c>
      <c r="G249">
        <v>1</v>
      </c>
      <c r="H249" t="s">
        <v>13</v>
      </c>
      <c r="I249" t="s">
        <v>14</v>
      </c>
    </row>
    <row r="250" spans="1:9" x14ac:dyDescent="0.3">
      <c r="A250" t="s">
        <v>494</v>
      </c>
      <c r="B250" t="s">
        <v>626</v>
      </c>
      <c r="C250" t="s">
        <v>11</v>
      </c>
      <c r="D250" t="s">
        <v>18</v>
      </c>
      <c r="E250">
        <v>106400.02</v>
      </c>
      <c r="F250" s="7">
        <v>44021</v>
      </c>
      <c r="G250">
        <v>1</v>
      </c>
      <c r="H250" t="s">
        <v>59</v>
      </c>
      <c r="I250" t="s">
        <v>66</v>
      </c>
    </row>
    <row r="251" spans="1:9" x14ac:dyDescent="0.3">
      <c r="A251" t="s">
        <v>509</v>
      </c>
      <c r="B251" t="s">
        <v>510</v>
      </c>
      <c r="C251" t="s">
        <v>17</v>
      </c>
      <c r="D251" t="s">
        <v>25</v>
      </c>
      <c r="F251" s="7">
        <v>44035</v>
      </c>
      <c r="G251">
        <v>1</v>
      </c>
      <c r="H251" t="s">
        <v>13</v>
      </c>
      <c r="I251" t="s">
        <v>60</v>
      </c>
    </row>
    <row r="252" spans="1:9" x14ac:dyDescent="0.3">
      <c r="A252" t="s">
        <v>512</v>
      </c>
      <c r="B252" t="s">
        <v>513</v>
      </c>
      <c r="C252" t="s">
        <v>11</v>
      </c>
      <c r="D252" t="s">
        <v>74</v>
      </c>
      <c r="E252">
        <v>65569.36</v>
      </c>
      <c r="F252" s="7">
        <v>43293</v>
      </c>
      <c r="G252">
        <v>1</v>
      </c>
      <c r="H252" t="s">
        <v>27</v>
      </c>
      <c r="I252" t="s">
        <v>60</v>
      </c>
    </row>
    <row r="253" spans="1:9" x14ac:dyDescent="0.3">
      <c r="A253" t="s">
        <v>317</v>
      </c>
      <c r="B253" t="s">
        <v>627</v>
      </c>
      <c r="C253" t="s">
        <v>11</v>
      </c>
      <c r="D253" t="s">
        <v>93</v>
      </c>
      <c r="E253">
        <v>40445.29</v>
      </c>
      <c r="F253" s="7">
        <v>44393</v>
      </c>
      <c r="G253">
        <v>1</v>
      </c>
      <c r="H253" t="s">
        <v>13</v>
      </c>
      <c r="I253" t="s">
        <v>66</v>
      </c>
    </row>
    <row r="254" spans="1:9" x14ac:dyDescent="0.3">
      <c r="A254" t="s">
        <v>467</v>
      </c>
      <c r="B254" t="s">
        <v>468</v>
      </c>
      <c r="C254" t="s">
        <v>11</v>
      </c>
      <c r="D254" t="s">
        <v>33</v>
      </c>
      <c r="E254">
        <v>0</v>
      </c>
      <c r="F254" s="7">
        <v>44207</v>
      </c>
      <c r="G254">
        <v>0.7</v>
      </c>
      <c r="H254" t="s">
        <v>13</v>
      </c>
      <c r="I254" t="s">
        <v>19</v>
      </c>
    </row>
    <row r="255" spans="1:9" x14ac:dyDescent="0.3">
      <c r="A255" t="s">
        <v>514</v>
      </c>
      <c r="B255" t="s">
        <v>515</v>
      </c>
      <c r="C255" t="s">
        <v>17</v>
      </c>
      <c r="D255" t="s">
        <v>637</v>
      </c>
      <c r="E255">
        <v>114772.32</v>
      </c>
      <c r="F255" s="7">
        <v>44251</v>
      </c>
      <c r="G255">
        <v>1</v>
      </c>
      <c r="H255" t="s">
        <v>13</v>
      </c>
      <c r="I255" t="s">
        <v>55</v>
      </c>
    </row>
    <row r="256" spans="1:9" x14ac:dyDescent="0.3">
      <c r="A256" t="s">
        <v>517</v>
      </c>
      <c r="B256" t="s">
        <v>518</v>
      </c>
      <c r="C256" t="s">
        <v>17</v>
      </c>
      <c r="D256" t="s">
        <v>25</v>
      </c>
      <c r="E256">
        <v>56253.81</v>
      </c>
      <c r="F256" s="7">
        <v>44421</v>
      </c>
      <c r="G256">
        <v>1</v>
      </c>
      <c r="H256" t="s">
        <v>13</v>
      </c>
      <c r="I256" t="s">
        <v>60</v>
      </c>
    </row>
    <row r="257" spans="1:9" x14ac:dyDescent="0.3">
      <c r="A257" t="s">
        <v>520</v>
      </c>
      <c r="B257" t="s">
        <v>628</v>
      </c>
      <c r="C257" t="s">
        <v>17</v>
      </c>
      <c r="D257" t="s">
        <v>93</v>
      </c>
      <c r="E257">
        <v>51798.25</v>
      </c>
      <c r="F257" s="7">
        <v>43665</v>
      </c>
      <c r="G257">
        <v>1</v>
      </c>
      <c r="H257" t="s">
        <v>13</v>
      </c>
      <c r="I257" t="s">
        <v>30</v>
      </c>
    </row>
    <row r="258" spans="1:9" x14ac:dyDescent="0.3">
      <c r="A258" t="s">
        <v>521</v>
      </c>
      <c r="B258" t="s">
        <v>522</v>
      </c>
      <c r="C258" t="s">
        <v>11</v>
      </c>
      <c r="D258" t="s">
        <v>74</v>
      </c>
      <c r="E258">
        <v>28329.77</v>
      </c>
      <c r="F258" s="7">
        <v>43402</v>
      </c>
      <c r="G258">
        <v>1</v>
      </c>
      <c r="H258" t="s">
        <v>13</v>
      </c>
      <c r="I258" t="s">
        <v>19</v>
      </c>
    </row>
    <row r="259" spans="1:9" x14ac:dyDescent="0.3">
      <c r="A259" t="s">
        <v>523</v>
      </c>
      <c r="B259" t="s">
        <v>629</v>
      </c>
      <c r="C259" t="s">
        <v>17</v>
      </c>
      <c r="D259" t="s">
        <v>25</v>
      </c>
      <c r="E259">
        <v>93964.3</v>
      </c>
      <c r="F259" s="7">
        <v>44454</v>
      </c>
      <c r="G259">
        <v>0.4</v>
      </c>
      <c r="H259" t="s">
        <v>27</v>
      </c>
      <c r="I259" t="s">
        <v>30</v>
      </c>
    </row>
    <row r="260" spans="1:9" x14ac:dyDescent="0.3">
      <c r="A260" t="s">
        <v>524</v>
      </c>
      <c r="B260" t="s">
        <v>525</v>
      </c>
      <c r="C260" t="s">
        <v>11</v>
      </c>
      <c r="D260" t="s">
        <v>18</v>
      </c>
      <c r="E260">
        <v>90884.32</v>
      </c>
      <c r="F260" s="7">
        <v>44039</v>
      </c>
      <c r="G260">
        <v>0.5</v>
      </c>
      <c r="H260" t="s">
        <v>13</v>
      </c>
      <c r="I260" t="s">
        <v>55</v>
      </c>
    </row>
    <row r="261" spans="1:9" x14ac:dyDescent="0.3">
      <c r="A261" t="s">
        <v>526</v>
      </c>
      <c r="B261" t="s">
        <v>527</v>
      </c>
      <c r="C261" t="s">
        <v>11</v>
      </c>
      <c r="D261" t="s">
        <v>22</v>
      </c>
      <c r="E261">
        <v>84742.86</v>
      </c>
      <c r="F261" s="7">
        <v>44098</v>
      </c>
      <c r="G261">
        <v>1</v>
      </c>
      <c r="H261" t="s">
        <v>13</v>
      </c>
      <c r="I261" t="s">
        <v>60</v>
      </c>
    </row>
    <row r="262" spans="1:9" x14ac:dyDescent="0.3">
      <c r="A262" t="s">
        <v>529</v>
      </c>
      <c r="B262" t="s">
        <v>530</v>
      </c>
      <c r="C262" t="s">
        <v>11</v>
      </c>
      <c r="D262" t="s">
        <v>80</v>
      </c>
      <c r="E262">
        <v>80772.92</v>
      </c>
      <c r="F262" s="7">
        <v>44137</v>
      </c>
      <c r="G262">
        <v>1</v>
      </c>
      <c r="H262" t="s">
        <v>59</v>
      </c>
      <c r="I262" t="s">
        <v>14</v>
      </c>
    </row>
    <row r="263" spans="1:9" x14ac:dyDescent="0.3">
      <c r="A263" t="s">
        <v>532</v>
      </c>
      <c r="B263" t="s">
        <v>630</v>
      </c>
      <c r="C263" t="s">
        <v>17</v>
      </c>
      <c r="D263" t="s">
        <v>74</v>
      </c>
      <c r="E263">
        <v>85264.38</v>
      </c>
      <c r="F263" s="7">
        <v>43220</v>
      </c>
      <c r="G263">
        <v>1</v>
      </c>
      <c r="H263" t="s">
        <v>13</v>
      </c>
      <c r="I263" t="s">
        <v>66</v>
      </c>
    </row>
    <row r="264" spans="1:9" x14ac:dyDescent="0.3">
      <c r="A264" t="s">
        <v>534</v>
      </c>
      <c r="B264" t="s">
        <v>535</v>
      </c>
      <c r="C264" t="s">
        <v>11</v>
      </c>
      <c r="D264" t="s">
        <v>74</v>
      </c>
      <c r="F264" s="7">
        <v>43514</v>
      </c>
      <c r="G264">
        <v>1</v>
      </c>
      <c r="H264" t="s">
        <v>13</v>
      </c>
      <c r="I264" t="s">
        <v>55</v>
      </c>
    </row>
    <row r="265" spans="1:9" x14ac:dyDescent="0.3">
      <c r="A265" t="s">
        <v>187</v>
      </c>
      <c r="B265" t="s">
        <v>188</v>
      </c>
      <c r="C265" t="s">
        <v>11</v>
      </c>
      <c r="D265" t="s">
        <v>99</v>
      </c>
      <c r="E265">
        <v>113747.56</v>
      </c>
      <c r="F265" s="7">
        <v>44270</v>
      </c>
      <c r="G265">
        <v>0.7</v>
      </c>
      <c r="H265" t="s">
        <v>59</v>
      </c>
      <c r="I265" t="s">
        <v>55</v>
      </c>
    </row>
    <row r="266" spans="1:9" x14ac:dyDescent="0.3">
      <c r="A266" t="s">
        <v>536</v>
      </c>
      <c r="B266" t="s">
        <v>537</v>
      </c>
      <c r="C266" t="s">
        <v>17</v>
      </c>
      <c r="D266" t="s">
        <v>33</v>
      </c>
      <c r="E266">
        <v>78378.2</v>
      </c>
      <c r="F266" s="7">
        <v>43465</v>
      </c>
      <c r="G266">
        <v>0.4</v>
      </c>
      <c r="H266" t="s">
        <v>13</v>
      </c>
      <c r="I266" t="s">
        <v>14</v>
      </c>
    </row>
    <row r="267" spans="1:9" x14ac:dyDescent="0.3">
      <c r="A267" t="s">
        <v>538</v>
      </c>
      <c r="B267" t="s">
        <v>539</v>
      </c>
      <c r="C267" t="s">
        <v>11</v>
      </c>
      <c r="D267" t="s">
        <v>80</v>
      </c>
      <c r="E267">
        <v>91314.75</v>
      </c>
      <c r="F267" s="7">
        <v>43931</v>
      </c>
      <c r="G267">
        <v>1</v>
      </c>
      <c r="H267" t="s">
        <v>27</v>
      </c>
      <c r="I267" t="s">
        <v>19</v>
      </c>
    </row>
    <row r="268" spans="1:9" x14ac:dyDescent="0.3">
      <c r="A268" t="s">
        <v>250</v>
      </c>
      <c r="B268" t="s">
        <v>631</v>
      </c>
      <c r="C268" t="s">
        <v>11</v>
      </c>
      <c r="D268" t="s">
        <v>99</v>
      </c>
      <c r="E268">
        <v>66572.58</v>
      </c>
      <c r="F268" s="7">
        <v>44193</v>
      </c>
      <c r="G268">
        <v>1</v>
      </c>
      <c r="H268" t="s">
        <v>13</v>
      </c>
      <c r="I268" t="s">
        <v>66</v>
      </c>
    </row>
    <row r="269" spans="1:9" x14ac:dyDescent="0.3">
      <c r="A269" t="s">
        <v>540</v>
      </c>
      <c r="B269" t="s">
        <v>541</v>
      </c>
      <c r="C269" t="s">
        <v>11</v>
      </c>
      <c r="D269" t="s">
        <v>37</v>
      </c>
      <c r="E269">
        <v>30077.45</v>
      </c>
      <c r="F269" s="7">
        <v>43474</v>
      </c>
      <c r="G269">
        <v>1</v>
      </c>
      <c r="H269" t="s">
        <v>13</v>
      </c>
      <c r="I269" t="s">
        <v>35</v>
      </c>
    </row>
    <row r="270" spans="1:9" x14ac:dyDescent="0.3">
      <c r="A270" t="s">
        <v>542</v>
      </c>
      <c r="B270" t="s">
        <v>543</v>
      </c>
      <c r="D270" t="s">
        <v>77</v>
      </c>
      <c r="E270">
        <v>98012.63</v>
      </c>
      <c r="F270" s="7">
        <v>43780</v>
      </c>
      <c r="G270">
        <v>1</v>
      </c>
      <c r="H270" t="s">
        <v>13</v>
      </c>
      <c r="I270" t="s">
        <v>14</v>
      </c>
    </row>
    <row r="271" spans="1:9" x14ac:dyDescent="0.3">
      <c r="A271" t="s">
        <v>544</v>
      </c>
      <c r="B271" t="s">
        <v>170</v>
      </c>
      <c r="C271" t="s">
        <v>11</v>
      </c>
      <c r="D271" t="s">
        <v>74</v>
      </c>
      <c r="E271">
        <v>72876.91</v>
      </c>
      <c r="F271" s="7">
        <v>43837</v>
      </c>
      <c r="G271">
        <v>1</v>
      </c>
      <c r="H271" t="s">
        <v>13</v>
      </c>
      <c r="I271" t="s">
        <v>14</v>
      </c>
    </row>
    <row r="272" spans="1:9" x14ac:dyDescent="0.3">
      <c r="A272" t="s">
        <v>545</v>
      </c>
      <c r="B272" t="s">
        <v>632</v>
      </c>
      <c r="C272" t="s">
        <v>11</v>
      </c>
      <c r="D272" t="s">
        <v>33</v>
      </c>
      <c r="E272">
        <v>92943.89</v>
      </c>
      <c r="F272" s="7">
        <v>44510</v>
      </c>
      <c r="G272">
        <v>1</v>
      </c>
      <c r="H272" t="s">
        <v>13</v>
      </c>
      <c r="I272" t="s">
        <v>30</v>
      </c>
    </row>
    <row r="273" spans="1:9" x14ac:dyDescent="0.3">
      <c r="A273" t="s">
        <v>546</v>
      </c>
      <c r="B273" t="s">
        <v>633</v>
      </c>
      <c r="C273" t="s">
        <v>17</v>
      </c>
      <c r="D273" t="s">
        <v>74</v>
      </c>
      <c r="E273">
        <v>29808.07</v>
      </c>
      <c r="F273" s="7">
        <v>43291</v>
      </c>
      <c r="G273">
        <v>0.3</v>
      </c>
      <c r="H273" t="s">
        <v>59</v>
      </c>
      <c r="I273" t="s">
        <v>30</v>
      </c>
    </row>
    <row r="274" spans="1:9" x14ac:dyDescent="0.3">
      <c r="A274" t="s">
        <v>548</v>
      </c>
      <c r="B274" t="s">
        <v>549</v>
      </c>
      <c r="C274" t="s">
        <v>17</v>
      </c>
      <c r="D274" t="s">
        <v>80</v>
      </c>
      <c r="E274">
        <v>47551.89</v>
      </c>
      <c r="F274" s="7">
        <v>43468</v>
      </c>
      <c r="G274">
        <v>1</v>
      </c>
      <c r="H274" t="s">
        <v>13</v>
      </c>
      <c r="I274" t="s">
        <v>60</v>
      </c>
    </row>
    <row r="275" spans="1:9" x14ac:dyDescent="0.3">
      <c r="A275" t="s">
        <v>157</v>
      </c>
      <c r="B275" t="s">
        <v>634</v>
      </c>
      <c r="C275" t="s">
        <v>17</v>
      </c>
      <c r="D275" t="s">
        <v>43</v>
      </c>
      <c r="E275">
        <v>39700.82</v>
      </c>
      <c r="F275" s="7">
        <v>44203</v>
      </c>
      <c r="G275">
        <v>0.8</v>
      </c>
      <c r="H275" t="s">
        <v>13</v>
      </c>
      <c r="I275" t="s">
        <v>66</v>
      </c>
    </row>
    <row r="276" spans="1:9" x14ac:dyDescent="0.3">
      <c r="A276" t="s">
        <v>550</v>
      </c>
      <c r="B276" t="s">
        <v>635</v>
      </c>
      <c r="C276" t="s">
        <v>17</v>
      </c>
      <c r="D276" t="s">
        <v>99</v>
      </c>
      <c r="E276">
        <v>31089.22</v>
      </c>
      <c r="F276" s="7">
        <v>43776</v>
      </c>
      <c r="G276">
        <v>1</v>
      </c>
      <c r="H276" t="s">
        <v>27</v>
      </c>
      <c r="I276" t="s">
        <v>66</v>
      </c>
    </row>
    <row r="277" spans="1:9" x14ac:dyDescent="0.3">
      <c r="A277" t="s">
        <v>551</v>
      </c>
      <c r="B277" t="s">
        <v>552</v>
      </c>
      <c r="C277" t="s">
        <v>17</v>
      </c>
      <c r="D277" t="s">
        <v>80</v>
      </c>
      <c r="E277">
        <v>78020.39</v>
      </c>
      <c r="F277" s="7">
        <v>43899</v>
      </c>
      <c r="G277">
        <v>1</v>
      </c>
      <c r="H277" t="s">
        <v>13</v>
      </c>
      <c r="I277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workbookViewId="0">
      <selection activeCell="E3" sqref="E3"/>
    </sheetView>
  </sheetViews>
  <sheetFormatPr defaultRowHeight="18.75" x14ac:dyDescent="0.3"/>
  <cols>
    <col min="1" max="1" width="8.19921875" bestFit="1" customWidth="1"/>
    <col min="2" max="2" width="21.69921875" bestFit="1" customWidth="1"/>
    <col min="3" max="3" width="6.5" bestFit="1" customWidth="1"/>
    <col min="4" max="4" width="22.296875" bestFit="1" customWidth="1"/>
    <col min="5" max="5" width="11.5" bestFit="1" customWidth="1"/>
    <col min="6" max="6" width="11.296875" bestFit="1" customWidth="1"/>
    <col min="7" max="7" width="3.8984375" bestFit="1" customWidth="1"/>
    <col min="8" max="8" width="10.09765625" bestFit="1" customWidth="1"/>
    <col min="9" max="9" width="20.09765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636</v>
      </c>
      <c r="E2" s="4">
        <v>120000</v>
      </c>
      <c r="F2" s="5" t="s">
        <v>12</v>
      </c>
      <c r="G2" s="6">
        <v>1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s="4">
        <v>98000</v>
      </c>
      <c r="F3" s="5">
        <v>43710</v>
      </c>
      <c r="G3" s="6">
        <v>0.9</v>
      </c>
      <c r="H3" t="s">
        <v>13</v>
      </c>
      <c r="I3" t="s">
        <v>19</v>
      </c>
    </row>
    <row r="4" spans="1:9" x14ac:dyDescent="0.3">
      <c r="A4" t="s">
        <v>20</v>
      </c>
      <c r="B4" t="s">
        <v>21</v>
      </c>
      <c r="C4" t="s">
        <v>17</v>
      </c>
      <c r="D4" t="s">
        <v>22</v>
      </c>
      <c r="E4" s="4">
        <v>120000</v>
      </c>
      <c r="F4" s="5">
        <v>43902</v>
      </c>
      <c r="G4" s="6">
        <v>0.9</v>
      </c>
      <c r="H4" t="s">
        <v>13</v>
      </c>
      <c r="I4" t="s">
        <v>14</v>
      </c>
    </row>
    <row r="5" spans="1:9" x14ac:dyDescent="0.3">
      <c r="A5" t="s">
        <v>23</v>
      </c>
      <c r="B5" t="s">
        <v>24</v>
      </c>
      <c r="C5" t="s">
        <v>17</v>
      </c>
      <c r="D5" t="s">
        <v>25</v>
      </c>
      <c r="E5" s="4">
        <v>93128.34</v>
      </c>
      <c r="F5" s="5" t="s">
        <v>26</v>
      </c>
      <c r="G5" s="6">
        <v>1</v>
      </c>
      <c r="H5" t="s">
        <v>27</v>
      </c>
      <c r="I5" t="s">
        <v>19</v>
      </c>
    </row>
    <row r="6" spans="1:9" x14ac:dyDescent="0.3">
      <c r="A6" t="s">
        <v>28</v>
      </c>
      <c r="B6" t="s">
        <v>553</v>
      </c>
      <c r="C6" t="s">
        <v>17</v>
      </c>
      <c r="D6" t="s">
        <v>25</v>
      </c>
      <c r="E6" s="4">
        <v>57002.02</v>
      </c>
      <c r="F6" s="5" t="s">
        <v>29</v>
      </c>
      <c r="G6" s="6">
        <v>0.7</v>
      </c>
      <c r="H6" t="s">
        <v>13</v>
      </c>
      <c r="I6" t="s">
        <v>30</v>
      </c>
    </row>
    <row r="7" spans="1:9" x14ac:dyDescent="0.3">
      <c r="A7" t="s">
        <v>31</v>
      </c>
      <c r="B7" t="s">
        <v>32</v>
      </c>
      <c r="C7" t="s">
        <v>11</v>
      </c>
      <c r="D7" t="s">
        <v>33</v>
      </c>
      <c r="E7" s="4">
        <v>118976.16</v>
      </c>
      <c r="F7" s="5" t="s">
        <v>34</v>
      </c>
      <c r="G7" s="6">
        <v>1</v>
      </c>
      <c r="H7" t="s">
        <v>13</v>
      </c>
      <c r="I7" t="s">
        <v>35</v>
      </c>
    </row>
    <row r="8" spans="1:9" x14ac:dyDescent="0.3">
      <c r="A8" t="s">
        <v>36</v>
      </c>
      <c r="B8" t="s">
        <v>554</v>
      </c>
      <c r="D8" t="s">
        <v>37</v>
      </c>
      <c r="E8" s="4">
        <v>104802.63</v>
      </c>
      <c r="F8" s="5">
        <v>44502</v>
      </c>
      <c r="G8" s="6">
        <v>1</v>
      </c>
      <c r="H8" t="s">
        <v>13</v>
      </c>
      <c r="I8" t="s">
        <v>30</v>
      </c>
    </row>
    <row r="9" spans="1:9" x14ac:dyDescent="0.3">
      <c r="A9" t="s">
        <v>38</v>
      </c>
      <c r="B9" t="s">
        <v>39</v>
      </c>
      <c r="C9" t="s">
        <v>17</v>
      </c>
      <c r="D9" t="s">
        <v>40</v>
      </c>
      <c r="E9" s="4">
        <v>66017.179999999993</v>
      </c>
      <c r="F9" s="5">
        <v>43643</v>
      </c>
      <c r="G9" s="6">
        <v>0.9</v>
      </c>
      <c r="H9" t="s">
        <v>13</v>
      </c>
      <c r="I9" t="s">
        <v>14</v>
      </c>
    </row>
    <row r="10" spans="1:9" x14ac:dyDescent="0.3">
      <c r="A10" t="s">
        <v>41</v>
      </c>
      <c r="B10" t="s">
        <v>42</v>
      </c>
      <c r="C10" t="s">
        <v>11</v>
      </c>
      <c r="D10" t="s">
        <v>43</v>
      </c>
      <c r="E10" s="4">
        <v>74279.009999999995</v>
      </c>
      <c r="F10" s="5">
        <v>43466</v>
      </c>
      <c r="G10" s="6">
        <v>1</v>
      </c>
      <c r="H10" t="s">
        <v>13</v>
      </c>
      <c r="I10" t="s">
        <v>35</v>
      </c>
    </row>
    <row r="11" spans="1:9" x14ac:dyDescent="0.3">
      <c r="A11" t="s">
        <v>44</v>
      </c>
      <c r="B11" t="s">
        <v>45</v>
      </c>
      <c r="C11" t="s">
        <v>17</v>
      </c>
      <c r="D11" t="s">
        <v>18</v>
      </c>
      <c r="E11" s="4">
        <v>68980.52</v>
      </c>
      <c r="F11" s="5">
        <v>43494</v>
      </c>
      <c r="G11" s="6">
        <v>0.8</v>
      </c>
      <c r="H11" t="s">
        <v>13</v>
      </c>
      <c r="I11" t="s">
        <v>14</v>
      </c>
    </row>
    <row r="12" spans="1:9" x14ac:dyDescent="0.3">
      <c r="A12" t="s">
        <v>46</v>
      </c>
      <c r="B12" t="s">
        <v>47</v>
      </c>
      <c r="C12" t="s">
        <v>17</v>
      </c>
      <c r="D12" t="s">
        <v>22</v>
      </c>
      <c r="E12" s="4">
        <v>42314.39</v>
      </c>
      <c r="F12" s="5" t="s">
        <v>48</v>
      </c>
      <c r="G12" s="6">
        <v>1</v>
      </c>
      <c r="H12" t="s">
        <v>27</v>
      </c>
      <c r="I12" t="s">
        <v>14</v>
      </c>
    </row>
    <row r="13" spans="1:9" x14ac:dyDescent="0.3">
      <c r="A13" t="s">
        <v>49</v>
      </c>
      <c r="B13" t="s">
        <v>50</v>
      </c>
      <c r="C13" t="s">
        <v>17</v>
      </c>
      <c r="D13" t="s">
        <v>33</v>
      </c>
      <c r="E13" s="4">
        <v>114425.19</v>
      </c>
      <c r="F13" s="5" t="s">
        <v>51</v>
      </c>
      <c r="G13" s="6">
        <v>1</v>
      </c>
      <c r="H13" t="s">
        <v>13</v>
      </c>
      <c r="I13" t="s">
        <v>35</v>
      </c>
    </row>
    <row r="14" spans="1:9" x14ac:dyDescent="0.3">
      <c r="A14" t="s">
        <v>52</v>
      </c>
      <c r="B14" t="s">
        <v>53</v>
      </c>
      <c r="C14" t="s">
        <v>17</v>
      </c>
      <c r="D14" t="s">
        <v>18</v>
      </c>
      <c r="E14" s="4">
        <v>69192.850000000006</v>
      </c>
      <c r="F14" s="5" t="s">
        <v>54</v>
      </c>
      <c r="G14" s="6">
        <v>1</v>
      </c>
      <c r="H14" t="s">
        <v>13</v>
      </c>
      <c r="I14" t="s">
        <v>55</v>
      </c>
    </row>
    <row r="15" spans="1:9" x14ac:dyDescent="0.3">
      <c r="A15" t="s">
        <v>56</v>
      </c>
      <c r="B15" t="s">
        <v>57</v>
      </c>
      <c r="C15" t="s">
        <v>11</v>
      </c>
      <c r="D15" t="s">
        <v>37</v>
      </c>
      <c r="E15" s="4">
        <v>61214.26</v>
      </c>
      <c r="F15" s="5" t="s">
        <v>58</v>
      </c>
      <c r="G15" s="6">
        <v>1</v>
      </c>
      <c r="H15" t="s">
        <v>59</v>
      </c>
      <c r="I15" t="s">
        <v>60</v>
      </c>
    </row>
    <row r="16" spans="1:9" x14ac:dyDescent="0.3">
      <c r="A16" t="s">
        <v>61</v>
      </c>
      <c r="B16" t="s">
        <v>62</v>
      </c>
      <c r="C16" t="s">
        <v>11</v>
      </c>
      <c r="D16" t="s">
        <v>37</v>
      </c>
      <c r="E16" s="4">
        <v>54137.05</v>
      </c>
      <c r="F16" s="5" t="s">
        <v>63</v>
      </c>
      <c r="G16" s="6">
        <v>1</v>
      </c>
      <c r="H16" t="s">
        <v>13</v>
      </c>
      <c r="I16" t="s">
        <v>14</v>
      </c>
    </row>
    <row r="17" spans="1:9" x14ac:dyDescent="0.3">
      <c r="A17" t="s">
        <v>64</v>
      </c>
      <c r="B17" t="s">
        <v>555</v>
      </c>
      <c r="C17" t="s">
        <v>17</v>
      </c>
      <c r="D17" t="s">
        <v>25</v>
      </c>
      <c r="E17" s="4">
        <v>37902.35</v>
      </c>
      <c r="F17" s="5" t="s">
        <v>65</v>
      </c>
      <c r="G17" s="6">
        <v>1</v>
      </c>
      <c r="H17" t="s">
        <v>13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33</v>
      </c>
      <c r="E18" s="4">
        <v>39969.72</v>
      </c>
      <c r="F18" s="5" t="s">
        <v>69</v>
      </c>
      <c r="G18" s="6">
        <v>1</v>
      </c>
      <c r="H18" t="s">
        <v>59</v>
      </c>
      <c r="I18" t="s">
        <v>55</v>
      </c>
    </row>
    <row r="19" spans="1:9" x14ac:dyDescent="0.3">
      <c r="A19" t="s">
        <v>70</v>
      </c>
      <c r="B19" t="s">
        <v>71</v>
      </c>
      <c r="C19" t="s">
        <v>11</v>
      </c>
      <c r="D19" t="s">
        <v>22</v>
      </c>
      <c r="E19" s="4">
        <v>69913.39</v>
      </c>
      <c r="F19" s="5">
        <v>43584</v>
      </c>
      <c r="G19" s="6">
        <v>1</v>
      </c>
      <c r="H19" t="s">
        <v>13</v>
      </c>
      <c r="I19" t="s">
        <v>14</v>
      </c>
    </row>
    <row r="20" spans="1:9" x14ac:dyDescent="0.3">
      <c r="A20" t="s">
        <v>72</v>
      </c>
      <c r="B20" t="s">
        <v>556</v>
      </c>
      <c r="C20" t="s">
        <v>11</v>
      </c>
      <c r="D20" t="s">
        <v>43</v>
      </c>
      <c r="E20" s="4">
        <v>52748.63</v>
      </c>
      <c r="F20" s="5" t="s">
        <v>51</v>
      </c>
      <c r="G20" s="6">
        <v>1</v>
      </c>
      <c r="H20" t="s">
        <v>13</v>
      </c>
      <c r="I20" t="s">
        <v>66</v>
      </c>
    </row>
    <row r="21" spans="1:9" x14ac:dyDescent="0.3">
      <c r="A21" t="s">
        <v>73</v>
      </c>
      <c r="B21" t="s">
        <v>557</v>
      </c>
      <c r="C21" t="s">
        <v>11</v>
      </c>
      <c r="D21" t="s">
        <v>74</v>
      </c>
      <c r="E21" s="4">
        <v>50310.09</v>
      </c>
      <c r="F21" s="5">
        <v>44285</v>
      </c>
      <c r="G21" s="6">
        <v>0.4</v>
      </c>
      <c r="H21" t="s">
        <v>13</v>
      </c>
      <c r="I21" t="s">
        <v>30</v>
      </c>
    </row>
    <row r="22" spans="1:9" x14ac:dyDescent="0.3">
      <c r="A22" t="s">
        <v>75</v>
      </c>
      <c r="B22" t="s">
        <v>76</v>
      </c>
      <c r="C22" t="s">
        <v>11</v>
      </c>
      <c r="D22" t="s">
        <v>77</v>
      </c>
      <c r="E22" s="4">
        <v>52963.65</v>
      </c>
      <c r="F22" s="5">
        <v>44288</v>
      </c>
      <c r="G22" s="6">
        <v>0.3</v>
      </c>
      <c r="H22" t="s">
        <v>13</v>
      </c>
      <c r="I22" t="s">
        <v>55</v>
      </c>
    </row>
    <row r="23" spans="1:9" x14ac:dyDescent="0.3">
      <c r="A23" t="s">
        <v>78</v>
      </c>
      <c r="B23" t="s">
        <v>79</v>
      </c>
      <c r="C23" t="s">
        <v>11</v>
      </c>
      <c r="D23" t="s">
        <v>80</v>
      </c>
      <c r="E23" s="4">
        <v>62195.47</v>
      </c>
      <c r="F23" s="5" t="s">
        <v>81</v>
      </c>
      <c r="G23" s="6">
        <v>1</v>
      </c>
      <c r="H23" t="s">
        <v>13</v>
      </c>
      <c r="I23" t="s">
        <v>14</v>
      </c>
    </row>
    <row r="24" spans="1:9" x14ac:dyDescent="0.3">
      <c r="A24" t="s">
        <v>82</v>
      </c>
      <c r="B24" t="s">
        <v>83</v>
      </c>
      <c r="C24" t="s">
        <v>11</v>
      </c>
      <c r="D24" t="s">
        <v>33</v>
      </c>
      <c r="E24" s="4">
        <v>43329.22</v>
      </c>
      <c r="F24" s="5">
        <v>43809</v>
      </c>
      <c r="G24" s="6">
        <v>0.5</v>
      </c>
      <c r="H24" t="s">
        <v>27</v>
      </c>
      <c r="I24" t="s">
        <v>14</v>
      </c>
    </row>
    <row r="25" spans="1:9" x14ac:dyDescent="0.3">
      <c r="A25" t="s">
        <v>84</v>
      </c>
      <c r="B25" t="s">
        <v>558</v>
      </c>
      <c r="C25" t="s">
        <v>17</v>
      </c>
      <c r="D25" t="s">
        <v>25</v>
      </c>
      <c r="E25" s="4">
        <v>71570.990000000005</v>
      </c>
      <c r="F25" s="5" t="s">
        <v>85</v>
      </c>
      <c r="G25" s="6">
        <v>0.5</v>
      </c>
      <c r="H25" t="s">
        <v>13</v>
      </c>
      <c r="I25" t="s">
        <v>30</v>
      </c>
    </row>
    <row r="26" spans="1:9" x14ac:dyDescent="0.3">
      <c r="A26" t="s">
        <v>86</v>
      </c>
      <c r="B26" t="s">
        <v>87</v>
      </c>
      <c r="D26" t="s">
        <v>25</v>
      </c>
      <c r="E26" s="4">
        <v>78840.23</v>
      </c>
      <c r="F26" s="5">
        <v>43633</v>
      </c>
      <c r="G26" s="6">
        <v>1</v>
      </c>
      <c r="H26" t="s">
        <v>59</v>
      </c>
      <c r="I26" t="s">
        <v>14</v>
      </c>
    </row>
    <row r="27" spans="1:9" x14ac:dyDescent="0.3">
      <c r="A27" t="s">
        <v>88</v>
      </c>
      <c r="B27" t="s">
        <v>559</v>
      </c>
      <c r="C27" t="s">
        <v>17</v>
      </c>
      <c r="D27" t="s">
        <v>74</v>
      </c>
      <c r="E27" s="4">
        <v>61994.76</v>
      </c>
      <c r="F27" s="5">
        <v>43794</v>
      </c>
      <c r="G27" s="6">
        <v>0.3</v>
      </c>
      <c r="H27" t="s">
        <v>13</v>
      </c>
      <c r="I27" t="s">
        <v>30</v>
      </c>
    </row>
    <row r="28" spans="1:9" x14ac:dyDescent="0.3">
      <c r="A28" t="s">
        <v>89</v>
      </c>
      <c r="B28" t="s">
        <v>90</v>
      </c>
      <c r="C28" t="s">
        <v>17</v>
      </c>
      <c r="D28" t="s">
        <v>22</v>
      </c>
      <c r="E28" s="4">
        <v>89690.38</v>
      </c>
      <c r="F28" s="5">
        <v>43206</v>
      </c>
      <c r="G28" s="6">
        <v>1</v>
      </c>
      <c r="H28" t="s">
        <v>13</v>
      </c>
      <c r="I28" t="s">
        <v>35</v>
      </c>
    </row>
    <row r="29" spans="1:9" x14ac:dyDescent="0.3">
      <c r="A29" t="s">
        <v>91</v>
      </c>
      <c r="B29" t="s">
        <v>92</v>
      </c>
      <c r="C29" t="s">
        <v>11</v>
      </c>
      <c r="D29" t="s">
        <v>93</v>
      </c>
      <c r="E29" s="4">
        <v>104335.03999999999</v>
      </c>
      <c r="F29" s="5">
        <v>43874</v>
      </c>
      <c r="G29" s="6">
        <v>1</v>
      </c>
      <c r="H29" t="s">
        <v>13</v>
      </c>
      <c r="I29" t="s">
        <v>55</v>
      </c>
    </row>
    <row r="30" spans="1:9" x14ac:dyDescent="0.3">
      <c r="A30" t="s">
        <v>94</v>
      </c>
      <c r="B30" t="s">
        <v>95</v>
      </c>
      <c r="C30" t="s">
        <v>11</v>
      </c>
      <c r="D30" t="s">
        <v>77</v>
      </c>
      <c r="E30" s="4">
        <v>52246.29</v>
      </c>
      <c r="F30" s="5" t="s">
        <v>96</v>
      </c>
      <c r="G30" s="6">
        <v>1</v>
      </c>
      <c r="H30" t="s">
        <v>59</v>
      </c>
      <c r="I30" t="s">
        <v>35</v>
      </c>
    </row>
    <row r="31" spans="1:9" x14ac:dyDescent="0.3">
      <c r="A31" t="s">
        <v>97</v>
      </c>
      <c r="B31" t="s">
        <v>98</v>
      </c>
      <c r="C31" t="s">
        <v>11</v>
      </c>
      <c r="D31" t="s">
        <v>99</v>
      </c>
      <c r="E31" s="4">
        <v>90697.67</v>
      </c>
      <c r="F31" s="5">
        <v>44221</v>
      </c>
      <c r="G31" s="6">
        <v>0.8</v>
      </c>
      <c r="H31" t="s">
        <v>13</v>
      </c>
      <c r="I31" t="s">
        <v>19</v>
      </c>
    </row>
    <row r="32" spans="1:9" x14ac:dyDescent="0.3">
      <c r="A32" t="s">
        <v>100</v>
      </c>
      <c r="B32" t="s">
        <v>101</v>
      </c>
      <c r="C32" t="s">
        <v>11</v>
      </c>
      <c r="D32" t="s">
        <v>18</v>
      </c>
      <c r="E32" s="4">
        <v>90884.32</v>
      </c>
      <c r="F32" s="5" t="s">
        <v>102</v>
      </c>
      <c r="G32" s="6">
        <v>1</v>
      </c>
      <c r="H32" t="s">
        <v>13</v>
      </c>
      <c r="I32" t="s">
        <v>55</v>
      </c>
    </row>
    <row r="33" spans="1:9" x14ac:dyDescent="0.3">
      <c r="A33" t="s">
        <v>103</v>
      </c>
      <c r="B33" t="s">
        <v>104</v>
      </c>
      <c r="C33" t="s">
        <v>11</v>
      </c>
      <c r="D33" t="s">
        <v>74</v>
      </c>
      <c r="E33" s="4">
        <v>76320.44</v>
      </c>
      <c r="F33" s="5">
        <v>44383</v>
      </c>
      <c r="G33" s="6">
        <v>0.8</v>
      </c>
      <c r="H33" t="s">
        <v>59</v>
      </c>
      <c r="I33" t="s">
        <v>14</v>
      </c>
    </row>
    <row r="34" spans="1:9" x14ac:dyDescent="0.3">
      <c r="A34" t="s">
        <v>105</v>
      </c>
      <c r="B34" t="s">
        <v>106</v>
      </c>
      <c r="C34" t="s">
        <v>11</v>
      </c>
      <c r="D34" t="s">
        <v>18</v>
      </c>
      <c r="E34" s="4">
        <v>73360.38</v>
      </c>
      <c r="F34" s="5">
        <v>43972</v>
      </c>
      <c r="G34" s="6">
        <v>1</v>
      </c>
      <c r="H34" t="s">
        <v>59</v>
      </c>
      <c r="I34" t="s">
        <v>14</v>
      </c>
    </row>
    <row r="35" spans="1:9" x14ac:dyDescent="0.3">
      <c r="A35" t="s">
        <v>107</v>
      </c>
      <c r="B35" t="s">
        <v>108</v>
      </c>
      <c r="C35" t="s">
        <v>11</v>
      </c>
      <c r="D35" t="s">
        <v>636</v>
      </c>
      <c r="E35" s="4"/>
      <c r="F35" s="5" t="s">
        <v>109</v>
      </c>
      <c r="G35" s="6">
        <v>0.7</v>
      </c>
      <c r="H35" t="s">
        <v>13</v>
      </c>
      <c r="I35" t="s">
        <v>60</v>
      </c>
    </row>
    <row r="36" spans="1:9" x14ac:dyDescent="0.3">
      <c r="A36" t="s">
        <v>110</v>
      </c>
      <c r="B36" t="s">
        <v>111</v>
      </c>
      <c r="C36" t="s">
        <v>17</v>
      </c>
      <c r="D36" t="s">
        <v>43</v>
      </c>
      <c r="E36" s="4">
        <v>50449.46</v>
      </c>
      <c r="F36" s="5" t="s">
        <v>112</v>
      </c>
      <c r="G36" s="6">
        <v>0.8</v>
      </c>
      <c r="H36" t="s">
        <v>13</v>
      </c>
      <c r="I36" t="s">
        <v>60</v>
      </c>
    </row>
    <row r="37" spans="1:9" x14ac:dyDescent="0.3">
      <c r="A37" t="s">
        <v>113</v>
      </c>
      <c r="B37" t="s">
        <v>114</v>
      </c>
      <c r="C37" t="s">
        <v>11</v>
      </c>
      <c r="D37" t="s">
        <v>25</v>
      </c>
      <c r="E37" s="4">
        <v>53949.26</v>
      </c>
      <c r="F37" s="5">
        <v>43808</v>
      </c>
      <c r="G37" s="6">
        <v>1</v>
      </c>
      <c r="H37" t="s">
        <v>59</v>
      </c>
      <c r="I37" t="s">
        <v>55</v>
      </c>
    </row>
    <row r="38" spans="1:9" x14ac:dyDescent="0.3">
      <c r="A38" t="s">
        <v>115</v>
      </c>
      <c r="B38" t="s">
        <v>116</v>
      </c>
      <c r="C38" t="s">
        <v>11</v>
      </c>
      <c r="D38" t="s">
        <v>99</v>
      </c>
      <c r="E38" s="4">
        <v>113616.23</v>
      </c>
      <c r="F38" s="5">
        <v>43255</v>
      </c>
      <c r="G38" s="6">
        <v>1</v>
      </c>
      <c r="H38" t="s">
        <v>13</v>
      </c>
      <c r="I38" t="s">
        <v>14</v>
      </c>
    </row>
    <row r="39" spans="1:9" x14ac:dyDescent="0.3">
      <c r="A39" t="s">
        <v>117</v>
      </c>
      <c r="B39" t="s">
        <v>118</v>
      </c>
      <c r="C39" t="s">
        <v>17</v>
      </c>
      <c r="D39" t="s">
        <v>93</v>
      </c>
      <c r="E39" s="4">
        <v>110906.35</v>
      </c>
      <c r="F39" s="5" t="s">
        <v>119</v>
      </c>
      <c r="G39" s="6">
        <v>1</v>
      </c>
      <c r="H39" t="s">
        <v>59</v>
      </c>
      <c r="I39" t="s">
        <v>35</v>
      </c>
    </row>
    <row r="40" spans="1:9" x14ac:dyDescent="0.3">
      <c r="A40" t="s">
        <v>120</v>
      </c>
      <c r="B40" t="s">
        <v>121</v>
      </c>
      <c r="C40" t="s">
        <v>17</v>
      </c>
      <c r="D40" t="s">
        <v>37</v>
      </c>
      <c r="E40" s="4">
        <v>100371.31</v>
      </c>
      <c r="F40" s="5">
        <v>44067</v>
      </c>
      <c r="G40" s="6">
        <v>0.8</v>
      </c>
      <c r="H40" t="s">
        <v>27</v>
      </c>
      <c r="I40" t="s">
        <v>60</v>
      </c>
    </row>
    <row r="41" spans="1:9" x14ac:dyDescent="0.3">
      <c r="A41" t="s">
        <v>122</v>
      </c>
      <c r="B41" t="s">
        <v>123</v>
      </c>
      <c r="C41" t="s">
        <v>17</v>
      </c>
      <c r="D41" t="s">
        <v>77</v>
      </c>
      <c r="E41" s="4">
        <v>69163.39</v>
      </c>
      <c r="F41" s="5">
        <v>43397</v>
      </c>
      <c r="G41" s="6">
        <v>1</v>
      </c>
      <c r="H41" t="s">
        <v>13</v>
      </c>
      <c r="I41" t="s">
        <v>14</v>
      </c>
    </row>
    <row r="42" spans="1:9" x14ac:dyDescent="0.3">
      <c r="A42" t="s">
        <v>124</v>
      </c>
      <c r="B42" t="s">
        <v>125</v>
      </c>
      <c r="C42" t="s">
        <v>11</v>
      </c>
      <c r="D42" t="s">
        <v>25</v>
      </c>
      <c r="E42" s="4">
        <v>114691.03</v>
      </c>
      <c r="F42" s="5" t="s">
        <v>126</v>
      </c>
      <c r="G42" s="6">
        <v>1</v>
      </c>
      <c r="H42" t="s">
        <v>59</v>
      </c>
      <c r="I42" t="s">
        <v>35</v>
      </c>
    </row>
    <row r="43" spans="1:9" x14ac:dyDescent="0.3">
      <c r="A43" t="s">
        <v>127</v>
      </c>
      <c r="B43" t="s">
        <v>560</v>
      </c>
      <c r="C43" t="s">
        <v>11</v>
      </c>
      <c r="D43" t="s">
        <v>74</v>
      </c>
      <c r="E43" s="4">
        <v>86556.96</v>
      </c>
      <c r="F43" s="5" t="s">
        <v>128</v>
      </c>
      <c r="G43" s="6">
        <v>1</v>
      </c>
      <c r="H43" t="s">
        <v>13</v>
      </c>
      <c r="I43" t="s">
        <v>30</v>
      </c>
    </row>
    <row r="44" spans="1:9" x14ac:dyDescent="0.3">
      <c r="A44" t="s">
        <v>129</v>
      </c>
      <c r="B44" t="s">
        <v>130</v>
      </c>
      <c r="C44" t="s">
        <v>17</v>
      </c>
      <c r="D44" t="s">
        <v>22</v>
      </c>
      <c r="E44" s="4">
        <v>31172.77</v>
      </c>
      <c r="F44" s="5" t="s">
        <v>131</v>
      </c>
      <c r="G44" s="6">
        <v>1</v>
      </c>
      <c r="H44" t="s">
        <v>27</v>
      </c>
      <c r="I44" t="s">
        <v>14</v>
      </c>
    </row>
    <row r="45" spans="1:9" x14ac:dyDescent="0.3">
      <c r="A45" t="s">
        <v>132</v>
      </c>
      <c r="B45" t="s">
        <v>133</v>
      </c>
      <c r="C45" t="s">
        <v>11</v>
      </c>
      <c r="D45" t="s">
        <v>18</v>
      </c>
      <c r="E45" s="4">
        <v>80169.42</v>
      </c>
      <c r="F45" s="5" t="s">
        <v>134</v>
      </c>
      <c r="G45" s="6">
        <v>1</v>
      </c>
      <c r="H45" t="s">
        <v>13</v>
      </c>
      <c r="I45" t="s">
        <v>60</v>
      </c>
    </row>
    <row r="46" spans="1:9" x14ac:dyDescent="0.3">
      <c r="A46" t="s">
        <v>113</v>
      </c>
      <c r="B46" t="s">
        <v>114</v>
      </c>
      <c r="C46" t="s">
        <v>11</v>
      </c>
      <c r="D46" t="s">
        <v>25</v>
      </c>
      <c r="E46" s="4">
        <v>53949.26</v>
      </c>
      <c r="F46" s="5">
        <v>43808</v>
      </c>
      <c r="G46" s="6">
        <v>1</v>
      </c>
      <c r="H46" t="s">
        <v>59</v>
      </c>
      <c r="I46" t="s">
        <v>55</v>
      </c>
    </row>
    <row r="47" spans="1:9" x14ac:dyDescent="0.3">
      <c r="A47" t="s">
        <v>135</v>
      </c>
      <c r="B47" t="s">
        <v>561</v>
      </c>
      <c r="C47" t="s">
        <v>17</v>
      </c>
      <c r="D47" t="s">
        <v>37</v>
      </c>
      <c r="E47" s="4">
        <v>58935.92</v>
      </c>
      <c r="F47" s="5" t="s">
        <v>136</v>
      </c>
      <c r="G47" s="6">
        <v>1</v>
      </c>
      <c r="H47" t="s">
        <v>59</v>
      </c>
      <c r="I47" t="s">
        <v>30</v>
      </c>
    </row>
    <row r="48" spans="1:9" x14ac:dyDescent="0.3">
      <c r="A48" t="s">
        <v>137</v>
      </c>
      <c r="B48" t="s">
        <v>562</v>
      </c>
      <c r="C48" t="s">
        <v>17</v>
      </c>
      <c r="D48" t="s">
        <v>37</v>
      </c>
      <c r="E48" s="4">
        <v>63555.73</v>
      </c>
      <c r="F48" s="5" t="s">
        <v>138</v>
      </c>
      <c r="G48" s="6">
        <v>1</v>
      </c>
      <c r="H48" t="s">
        <v>13</v>
      </c>
      <c r="I48" t="s">
        <v>66</v>
      </c>
    </row>
    <row r="49" spans="1:9" x14ac:dyDescent="0.3">
      <c r="A49" t="s">
        <v>139</v>
      </c>
      <c r="B49" t="s">
        <v>140</v>
      </c>
      <c r="C49" t="s">
        <v>11</v>
      </c>
      <c r="D49" t="s">
        <v>77</v>
      </c>
      <c r="E49" s="4">
        <v>57419.35</v>
      </c>
      <c r="F49" s="5">
        <v>43305</v>
      </c>
      <c r="G49" s="6">
        <v>1</v>
      </c>
      <c r="H49" t="s">
        <v>27</v>
      </c>
      <c r="I49" t="s">
        <v>60</v>
      </c>
    </row>
    <row r="50" spans="1:9" x14ac:dyDescent="0.3">
      <c r="A50" t="s">
        <v>141</v>
      </c>
      <c r="B50" t="s">
        <v>142</v>
      </c>
      <c r="C50" t="s">
        <v>17</v>
      </c>
      <c r="D50" t="s">
        <v>93</v>
      </c>
      <c r="E50" s="4">
        <v>67818.14</v>
      </c>
      <c r="F50" s="5" t="s">
        <v>143</v>
      </c>
      <c r="G50" s="6">
        <v>0.6</v>
      </c>
      <c r="H50" t="s">
        <v>27</v>
      </c>
      <c r="I50" t="s">
        <v>14</v>
      </c>
    </row>
    <row r="51" spans="1:9" x14ac:dyDescent="0.3">
      <c r="A51" t="s">
        <v>144</v>
      </c>
      <c r="B51" t="s">
        <v>563</v>
      </c>
      <c r="C51" t="s">
        <v>17</v>
      </c>
      <c r="D51" t="s">
        <v>636</v>
      </c>
      <c r="E51" s="4">
        <v>44403.77</v>
      </c>
      <c r="F51" s="5">
        <v>43416</v>
      </c>
      <c r="G51" s="6">
        <v>1</v>
      </c>
      <c r="H51" t="s">
        <v>13</v>
      </c>
      <c r="I51" t="s">
        <v>30</v>
      </c>
    </row>
    <row r="52" spans="1:9" x14ac:dyDescent="0.3">
      <c r="A52" t="s">
        <v>145</v>
      </c>
      <c r="B52" t="s">
        <v>146</v>
      </c>
      <c r="C52" t="s">
        <v>11</v>
      </c>
      <c r="D52" t="s">
        <v>40</v>
      </c>
      <c r="E52" s="4">
        <v>40753.54</v>
      </c>
      <c r="F52" s="5">
        <v>43152</v>
      </c>
      <c r="G52" s="6">
        <v>0.6</v>
      </c>
      <c r="H52" t="s">
        <v>13</v>
      </c>
      <c r="I52" t="s">
        <v>35</v>
      </c>
    </row>
    <row r="53" spans="1:9" x14ac:dyDescent="0.3">
      <c r="A53" t="s">
        <v>147</v>
      </c>
      <c r="B53" t="s">
        <v>564</v>
      </c>
      <c r="C53" t="s">
        <v>17</v>
      </c>
      <c r="D53" t="s">
        <v>25</v>
      </c>
      <c r="E53" s="4">
        <v>102934.09</v>
      </c>
      <c r="F53" s="5" t="s">
        <v>148</v>
      </c>
      <c r="G53" s="6">
        <v>1</v>
      </c>
      <c r="H53" t="s">
        <v>13</v>
      </c>
      <c r="I53" t="s">
        <v>30</v>
      </c>
    </row>
    <row r="54" spans="1:9" x14ac:dyDescent="0.3">
      <c r="A54" t="s">
        <v>149</v>
      </c>
      <c r="B54" t="s">
        <v>150</v>
      </c>
      <c r="C54" t="s">
        <v>11</v>
      </c>
      <c r="D54" t="s">
        <v>80</v>
      </c>
      <c r="E54" s="4">
        <v>68860.399999999994</v>
      </c>
      <c r="F54" s="5">
        <v>43508</v>
      </c>
      <c r="G54" s="6">
        <v>0.4</v>
      </c>
      <c r="H54" t="s">
        <v>13</v>
      </c>
      <c r="I54" t="s">
        <v>55</v>
      </c>
    </row>
    <row r="55" spans="1:9" x14ac:dyDescent="0.3">
      <c r="A55" t="s">
        <v>151</v>
      </c>
      <c r="B55" t="s">
        <v>565</v>
      </c>
      <c r="C55" t="s">
        <v>11</v>
      </c>
      <c r="D55" t="s">
        <v>25</v>
      </c>
      <c r="E55" s="4">
        <v>79567.69</v>
      </c>
      <c r="F55" s="5">
        <v>43272</v>
      </c>
      <c r="G55" s="6">
        <v>1</v>
      </c>
      <c r="H55" t="s">
        <v>27</v>
      </c>
      <c r="I55" t="s">
        <v>66</v>
      </c>
    </row>
    <row r="56" spans="1:9" x14ac:dyDescent="0.3">
      <c r="A56" t="s">
        <v>152</v>
      </c>
      <c r="B56" t="s">
        <v>153</v>
      </c>
      <c r="C56" t="s">
        <v>17</v>
      </c>
      <c r="D56" t="s">
        <v>74</v>
      </c>
      <c r="E56" s="4">
        <v>35943.620000000003</v>
      </c>
      <c r="F56" s="5">
        <v>44078</v>
      </c>
      <c r="G56" s="6">
        <v>1</v>
      </c>
      <c r="H56" t="s">
        <v>13</v>
      </c>
      <c r="I56" t="s">
        <v>55</v>
      </c>
    </row>
    <row r="57" spans="1:9" x14ac:dyDescent="0.3">
      <c r="A57" t="s">
        <v>154</v>
      </c>
      <c r="B57" t="s">
        <v>566</v>
      </c>
      <c r="C57" t="s">
        <v>17</v>
      </c>
      <c r="D57" t="s">
        <v>25</v>
      </c>
      <c r="E57" s="4">
        <v>116767.63</v>
      </c>
      <c r="F57" s="5">
        <v>43949</v>
      </c>
      <c r="G57" s="6">
        <v>0.4</v>
      </c>
      <c r="H57" t="s">
        <v>59</v>
      </c>
      <c r="I57" t="s">
        <v>66</v>
      </c>
    </row>
    <row r="58" spans="1:9" x14ac:dyDescent="0.3">
      <c r="A58" t="s">
        <v>155</v>
      </c>
      <c r="B58" t="s">
        <v>156</v>
      </c>
      <c r="C58" t="s">
        <v>11</v>
      </c>
      <c r="D58" t="s">
        <v>43</v>
      </c>
      <c r="E58" s="4">
        <v>85455.53</v>
      </c>
      <c r="F58" s="5">
        <v>43839</v>
      </c>
      <c r="G58" s="6">
        <v>1</v>
      </c>
      <c r="H58" t="s">
        <v>13</v>
      </c>
      <c r="I58" t="s">
        <v>35</v>
      </c>
    </row>
    <row r="59" spans="1:9" x14ac:dyDescent="0.3">
      <c r="A59" t="s">
        <v>157</v>
      </c>
      <c r="B59" t="s">
        <v>567</v>
      </c>
      <c r="C59" t="s">
        <v>17</v>
      </c>
      <c r="D59" t="s">
        <v>43</v>
      </c>
      <c r="E59" s="4">
        <v>39700.82</v>
      </c>
      <c r="F59" s="5">
        <v>44203</v>
      </c>
      <c r="G59" s="6">
        <v>0.8</v>
      </c>
      <c r="H59" t="s">
        <v>13</v>
      </c>
      <c r="I59" t="s">
        <v>66</v>
      </c>
    </row>
    <row r="60" spans="1:9" x14ac:dyDescent="0.3">
      <c r="A60" t="s">
        <v>158</v>
      </c>
      <c r="B60" t="s">
        <v>568</v>
      </c>
      <c r="C60" t="s">
        <v>17</v>
      </c>
      <c r="D60" t="s">
        <v>93</v>
      </c>
      <c r="E60" s="4">
        <v>38438.239999999998</v>
      </c>
      <c r="F60" s="5" t="s">
        <v>159</v>
      </c>
      <c r="G60" s="6">
        <v>1</v>
      </c>
      <c r="H60" t="s">
        <v>13</v>
      </c>
      <c r="I60" t="s">
        <v>66</v>
      </c>
    </row>
    <row r="61" spans="1:9" x14ac:dyDescent="0.3">
      <c r="A61" t="s">
        <v>160</v>
      </c>
      <c r="B61" t="s">
        <v>161</v>
      </c>
      <c r="C61" t="s">
        <v>11</v>
      </c>
      <c r="D61" t="s">
        <v>33</v>
      </c>
      <c r="E61" s="4">
        <v>50855.53</v>
      </c>
      <c r="F61" s="5" t="s">
        <v>162</v>
      </c>
      <c r="G61" s="6">
        <v>1</v>
      </c>
      <c r="H61" t="s">
        <v>13</v>
      </c>
      <c r="I61" t="s">
        <v>35</v>
      </c>
    </row>
    <row r="62" spans="1:9" x14ac:dyDescent="0.3">
      <c r="A62" t="s">
        <v>163</v>
      </c>
      <c r="B62" t="s">
        <v>164</v>
      </c>
      <c r="C62" t="s">
        <v>11</v>
      </c>
      <c r="D62" t="s">
        <v>37</v>
      </c>
      <c r="E62" s="4">
        <v>0</v>
      </c>
      <c r="F62" s="5" t="s">
        <v>165</v>
      </c>
      <c r="G62" s="6">
        <v>0.2</v>
      </c>
      <c r="H62" t="s">
        <v>13</v>
      </c>
      <c r="I62" t="s">
        <v>60</v>
      </c>
    </row>
    <row r="63" spans="1:9" x14ac:dyDescent="0.3">
      <c r="A63" t="s">
        <v>166</v>
      </c>
      <c r="B63" t="s">
        <v>167</v>
      </c>
      <c r="C63" t="s">
        <v>11</v>
      </c>
      <c r="D63" t="s">
        <v>40</v>
      </c>
      <c r="E63" s="4">
        <v>37362.300000000003</v>
      </c>
      <c r="F63" s="5" t="s">
        <v>168</v>
      </c>
      <c r="G63" s="6">
        <v>1</v>
      </c>
      <c r="H63" t="s">
        <v>13</v>
      </c>
      <c r="I63" t="s">
        <v>60</v>
      </c>
    </row>
    <row r="64" spans="1:9" x14ac:dyDescent="0.3">
      <c r="A64" t="s">
        <v>169</v>
      </c>
      <c r="B64" t="s">
        <v>170</v>
      </c>
      <c r="C64" t="s">
        <v>11</v>
      </c>
      <c r="D64" t="s">
        <v>74</v>
      </c>
      <c r="E64" s="4">
        <v>72876.91</v>
      </c>
      <c r="F64" s="5" t="s">
        <v>171</v>
      </c>
      <c r="G64" s="6">
        <v>0.4</v>
      </c>
      <c r="H64" t="s">
        <v>27</v>
      </c>
      <c r="I64" t="s">
        <v>60</v>
      </c>
    </row>
    <row r="65" spans="1:9" x14ac:dyDescent="0.3">
      <c r="A65" t="s">
        <v>172</v>
      </c>
      <c r="B65" t="s">
        <v>173</v>
      </c>
      <c r="C65" t="s">
        <v>17</v>
      </c>
      <c r="D65" t="s">
        <v>99</v>
      </c>
      <c r="E65" s="4">
        <v>31042.51</v>
      </c>
      <c r="F65" s="5">
        <v>44473</v>
      </c>
      <c r="G65" s="6">
        <v>0.3</v>
      </c>
      <c r="H65" t="s">
        <v>27</v>
      </c>
      <c r="I65" t="s">
        <v>14</v>
      </c>
    </row>
    <row r="66" spans="1:9" x14ac:dyDescent="0.3">
      <c r="A66" t="s">
        <v>174</v>
      </c>
      <c r="B66" t="s">
        <v>569</v>
      </c>
      <c r="C66" t="s">
        <v>17</v>
      </c>
      <c r="D66" t="s">
        <v>99</v>
      </c>
      <c r="E66" s="4">
        <v>63705.4</v>
      </c>
      <c r="F66" s="5">
        <v>43682</v>
      </c>
      <c r="G66" s="6">
        <v>1</v>
      </c>
      <c r="H66" t="s">
        <v>13</v>
      </c>
      <c r="I66" t="s">
        <v>30</v>
      </c>
    </row>
    <row r="67" spans="1:9" x14ac:dyDescent="0.3">
      <c r="A67" t="s">
        <v>175</v>
      </c>
      <c r="B67" t="s">
        <v>176</v>
      </c>
      <c r="C67" t="s">
        <v>17</v>
      </c>
      <c r="D67" t="s">
        <v>43</v>
      </c>
      <c r="E67" s="4">
        <v>59434.18</v>
      </c>
      <c r="F67" s="5" t="s">
        <v>177</v>
      </c>
      <c r="G67" s="6">
        <v>1</v>
      </c>
      <c r="H67" t="s">
        <v>59</v>
      </c>
      <c r="I67" t="s">
        <v>19</v>
      </c>
    </row>
    <row r="68" spans="1:9" x14ac:dyDescent="0.3">
      <c r="A68" t="s">
        <v>178</v>
      </c>
      <c r="B68" t="s">
        <v>570</v>
      </c>
      <c r="C68" t="s">
        <v>17</v>
      </c>
      <c r="D68" t="s">
        <v>80</v>
      </c>
      <c r="E68" s="4">
        <v>84762.76</v>
      </c>
      <c r="F68" s="5">
        <v>43332</v>
      </c>
      <c r="G68" s="6">
        <v>1</v>
      </c>
      <c r="H68" t="s">
        <v>13</v>
      </c>
      <c r="I68" t="s">
        <v>30</v>
      </c>
    </row>
    <row r="69" spans="1:9" x14ac:dyDescent="0.3">
      <c r="A69" t="s">
        <v>179</v>
      </c>
      <c r="B69" t="s">
        <v>180</v>
      </c>
      <c r="C69" t="s">
        <v>17</v>
      </c>
      <c r="D69" t="s">
        <v>22</v>
      </c>
      <c r="E69" s="4">
        <v>69057.320000000007</v>
      </c>
      <c r="F69" s="5">
        <v>43390</v>
      </c>
      <c r="G69" s="6">
        <v>1</v>
      </c>
      <c r="H69" t="s">
        <v>13</v>
      </c>
      <c r="I69" t="s">
        <v>35</v>
      </c>
    </row>
    <row r="70" spans="1:9" x14ac:dyDescent="0.3">
      <c r="A70" t="s">
        <v>181</v>
      </c>
      <c r="B70" t="s">
        <v>182</v>
      </c>
      <c r="D70" t="s">
        <v>74</v>
      </c>
      <c r="E70" s="4">
        <v>99448.78</v>
      </c>
      <c r="F70" s="5" t="s">
        <v>183</v>
      </c>
      <c r="G70" s="6">
        <v>1</v>
      </c>
      <c r="H70" t="s">
        <v>27</v>
      </c>
      <c r="I70" t="s">
        <v>35</v>
      </c>
    </row>
    <row r="71" spans="1:9" x14ac:dyDescent="0.3">
      <c r="A71" t="s">
        <v>184</v>
      </c>
      <c r="B71" t="s">
        <v>185</v>
      </c>
      <c r="C71" t="s">
        <v>17</v>
      </c>
      <c r="D71" t="s">
        <v>93</v>
      </c>
      <c r="E71" s="4">
        <v>66865.490000000005</v>
      </c>
      <c r="F71" s="5" t="s">
        <v>186</v>
      </c>
      <c r="G71" s="6">
        <v>1</v>
      </c>
      <c r="H71" t="s">
        <v>13</v>
      </c>
      <c r="I71" t="s">
        <v>19</v>
      </c>
    </row>
    <row r="72" spans="1:9" x14ac:dyDescent="0.3">
      <c r="A72" t="s">
        <v>187</v>
      </c>
      <c r="B72" t="s">
        <v>188</v>
      </c>
      <c r="C72" t="s">
        <v>11</v>
      </c>
      <c r="D72" t="s">
        <v>99</v>
      </c>
      <c r="E72" s="4">
        <v>113747.56</v>
      </c>
      <c r="F72" s="5" t="s">
        <v>189</v>
      </c>
      <c r="G72" s="6">
        <v>0.7</v>
      </c>
      <c r="H72" t="s">
        <v>59</v>
      </c>
      <c r="I72" t="s">
        <v>55</v>
      </c>
    </row>
    <row r="73" spans="1:9" x14ac:dyDescent="0.3">
      <c r="A73" t="s">
        <v>190</v>
      </c>
      <c r="B73" t="s">
        <v>191</v>
      </c>
      <c r="C73" t="s">
        <v>11</v>
      </c>
      <c r="D73" t="s">
        <v>18</v>
      </c>
      <c r="E73" s="4">
        <v>85918.61</v>
      </c>
      <c r="F73" s="5" t="s">
        <v>192</v>
      </c>
      <c r="G73" s="6">
        <v>1</v>
      </c>
      <c r="H73" t="s">
        <v>13</v>
      </c>
      <c r="I73" t="s">
        <v>55</v>
      </c>
    </row>
    <row r="74" spans="1:9" x14ac:dyDescent="0.3">
      <c r="A74" t="s">
        <v>193</v>
      </c>
      <c r="B74" t="s">
        <v>571</v>
      </c>
      <c r="C74" t="s">
        <v>17</v>
      </c>
      <c r="D74" t="s">
        <v>636</v>
      </c>
      <c r="E74" s="4">
        <v>51165.37</v>
      </c>
      <c r="F74" s="5" t="s">
        <v>194</v>
      </c>
      <c r="G74" s="6">
        <v>1</v>
      </c>
      <c r="H74" t="s">
        <v>27</v>
      </c>
      <c r="I74" t="s">
        <v>30</v>
      </c>
    </row>
    <row r="75" spans="1:9" x14ac:dyDescent="0.3">
      <c r="A75" t="s">
        <v>195</v>
      </c>
      <c r="B75" t="s">
        <v>196</v>
      </c>
      <c r="C75" t="s">
        <v>17</v>
      </c>
      <c r="D75" t="s">
        <v>99</v>
      </c>
      <c r="E75" s="4"/>
      <c r="F75" s="5">
        <v>44011</v>
      </c>
      <c r="G75" s="6">
        <v>1</v>
      </c>
      <c r="H75" t="s">
        <v>13</v>
      </c>
      <c r="I75" t="s">
        <v>35</v>
      </c>
    </row>
    <row r="76" spans="1:9" x14ac:dyDescent="0.3">
      <c r="A76" t="s">
        <v>197</v>
      </c>
      <c r="B76" t="s">
        <v>572</v>
      </c>
      <c r="D76" t="s">
        <v>74</v>
      </c>
      <c r="E76" s="4">
        <v>67957.899999999994</v>
      </c>
      <c r="F76" s="5">
        <v>43430</v>
      </c>
      <c r="G76" s="6">
        <v>1</v>
      </c>
      <c r="H76" t="s">
        <v>13</v>
      </c>
      <c r="I76" t="s">
        <v>66</v>
      </c>
    </row>
    <row r="77" spans="1:9" x14ac:dyDescent="0.3">
      <c r="A77" t="s">
        <v>198</v>
      </c>
      <c r="B77" t="s">
        <v>199</v>
      </c>
      <c r="C77" t="s">
        <v>11</v>
      </c>
      <c r="D77" t="s">
        <v>33</v>
      </c>
      <c r="E77" s="4">
        <v>114465.93</v>
      </c>
      <c r="F77" s="5">
        <v>43291</v>
      </c>
      <c r="G77" s="6">
        <v>1</v>
      </c>
      <c r="H77" t="s">
        <v>59</v>
      </c>
      <c r="I77" t="s">
        <v>35</v>
      </c>
    </row>
    <row r="78" spans="1:9" x14ac:dyDescent="0.3">
      <c r="A78" t="s">
        <v>200</v>
      </c>
      <c r="B78" t="s">
        <v>201</v>
      </c>
      <c r="C78" t="s">
        <v>11</v>
      </c>
      <c r="D78" t="s">
        <v>40</v>
      </c>
      <c r="E78" s="4">
        <v>65699.02</v>
      </c>
      <c r="F78" s="5" t="s">
        <v>202</v>
      </c>
      <c r="G78" s="6">
        <v>1</v>
      </c>
      <c r="H78" t="s">
        <v>13</v>
      </c>
      <c r="I78" t="s">
        <v>55</v>
      </c>
    </row>
    <row r="79" spans="1:9" x14ac:dyDescent="0.3">
      <c r="A79" t="s">
        <v>203</v>
      </c>
      <c r="B79" t="s">
        <v>204</v>
      </c>
      <c r="C79" t="s">
        <v>11</v>
      </c>
      <c r="D79" t="s">
        <v>80</v>
      </c>
      <c r="E79" s="4">
        <v>83191.95</v>
      </c>
      <c r="F79" s="5">
        <v>43700</v>
      </c>
      <c r="G79" s="6">
        <v>0.6</v>
      </c>
      <c r="H79" t="s">
        <v>59</v>
      </c>
      <c r="I79" t="s">
        <v>14</v>
      </c>
    </row>
    <row r="80" spans="1:9" x14ac:dyDescent="0.3">
      <c r="A80" t="s">
        <v>205</v>
      </c>
      <c r="B80" t="s">
        <v>573</v>
      </c>
      <c r="C80" t="s">
        <v>11</v>
      </c>
      <c r="D80" t="s">
        <v>93</v>
      </c>
      <c r="E80" s="4">
        <v>106775.14</v>
      </c>
      <c r="F80" s="5">
        <v>43563</v>
      </c>
      <c r="G80" s="6">
        <v>1</v>
      </c>
      <c r="H80" t="s">
        <v>27</v>
      </c>
      <c r="I80" t="s">
        <v>30</v>
      </c>
    </row>
    <row r="81" spans="1:9" x14ac:dyDescent="0.3">
      <c r="A81" t="s">
        <v>206</v>
      </c>
      <c r="B81" t="s">
        <v>207</v>
      </c>
      <c r="C81" t="s">
        <v>11</v>
      </c>
      <c r="D81" t="s">
        <v>74</v>
      </c>
      <c r="E81" s="4">
        <v>83396.5</v>
      </c>
      <c r="F81" s="5" t="s">
        <v>208</v>
      </c>
      <c r="G81" s="6">
        <v>1</v>
      </c>
      <c r="H81" t="s">
        <v>59</v>
      </c>
      <c r="I81" t="s">
        <v>60</v>
      </c>
    </row>
    <row r="82" spans="1:9" x14ac:dyDescent="0.3">
      <c r="A82" t="s">
        <v>209</v>
      </c>
      <c r="B82" t="s">
        <v>574</v>
      </c>
      <c r="C82" t="s">
        <v>11</v>
      </c>
      <c r="D82" t="s">
        <v>99</v>
      </c>
      <c r="E82" s="4">
        <v>28481.16</v>
      </c>
      <c r="F82" s="5" t="s">
        <v>210</v>
      </c>
      <c r="G82" s="6">
        <v>1</v>
      </c>
      <c r="H82" t="s">
        <v>59</v>
      </c>
      <c r="I82" t="s">
        <v>66</v>
      </c>
    </row>
    <row r="83" spans="1:9" x14ac:dyDescent="0.3">
      <c r="A83" t="s">
        <v>211</v>
      </c>
      <c r="B83" t="s">
        <v>575</v>
      </c>
      <c r="C83" t="s">
        <v>11</v>
      </c>
      <c r="D83" t="s">
        <v>80</v>
      </c>
      <c r="E83" s="4">
        <v>32192.15</v>
      </c>
      <c r="F83" s="5" t="s">
        <v>212</v>
      </c>
      <c r="G83" s="6">
        <v>1</v>
      </c>
      <c r="H83" t="s">
        <v>13</v>
      </c>
      <c r="I83" t="s">
        <v>30</v>
      </c>
    </row>
    <row r="84" spans="1:9" x14ac:dyDescent="0.3">
      <c r="A84" t="s">
        <v>213</v>
      </c>
      <c r="B84" t="s">
        <v>214</v>
      </c>
      <c r="C84" t="s">
        <v>11</v>
      </c>
      <c r="D84" t="s">
        <v>636</v>
      </c>
      <c r="E84" s="4">
        <v>112645.99</v>
      </c>
      <c r="F84" s="5" t="s">
        <v>215</v>
      </c>
      <c r="G84" s="6">
        <v>0.6</v>
      </c>
      <c r="H84" t="s">
        <v>13</v>
      </c>
      <c r="I84" t="s">
        <v>19</v>
      </c>
    </row>
    <row r="85" spans="1:9" x14ac:dyDescent="0.3">
      <c r="A85" t="s">
        <v>216</v>
      </c>
      <c r="B85" t="s">
        <v>576</v>
      </c>
      <c r="D85" t="s">
        <v>77</v>
      </c>
      <c r="E85" s="4">
        <v>107107.6</v>
      </c>
      <c r="F85" s="5" t="s">
        <v>217</v>
      </c>
      <c r="G85" s="6">
        <v>0.9</v>
      </c>
      <c r="H85" t="s">
        <v>13</v>
      </c>
      <c r="I85" t="s">
        <v>66</v>
      </c>
    </row>
    <row r="86" spans="1:9" x14ac:dyDescent="0.3">
      <c r="A86" t="s">
        <v>218</v>
      </c>
      <c r="B86" t="s">
        <v>219</v>
      </c>
      <c r="C86" t="s">
        <v>17</v>
      </c>
      <c r="D86" t="s">
        <v>18</v>
      </c>
      <c r="E86" s="4">
        <v>80695.740000000005</v>
      </c>
      <c r="F86" s="5" t="s">
        <v>220</v>
      </c>
      <c r="G86" s="6">
        <v>0.8</v>
      </c>
      <c r="H86" t="s">
        <v>13</v>
      </c>
      <c r="I86" t="s">
        <v>55</v>
      </c>
    </row>
    <row r="87" spans="1:9" x14ac:dyDescent="0.3">
      <c r="A87" t="s">
        <v>221</v>
      </c>
      <c r="B87" t="s">
        <v>222</v>
      </c>
      <c r="C87" t="s">
        <v>17</v>
      </c>
      <c r="D87" t="s">
        <v>93</v>
      </c>
      <c r="E87" s="4">
        <v>75475.929999999993</v>
      </c>
      <c r="F87" s="5" t="s">
        <v>223</v>
      </c>
      <c r="G87" s="6">
        <v>1</v>
      </c>
      <c r="H87" t="s">
        <v>13</v>
      </c>
      <c r="I87" t="s">
        <v>14</v>
      </c>
    </row>
    <row r="88" spans="1:9" x14ac:dyDescent="0.3">
      <c r="A88" t="s">
        <v>224</v>
      </c>
      <c r="B88" t="s">
        <v>225</v>
      </c>
      <c r="C88" t="s">
        <v>17</v>
      </c>
      <c r="D88" t="s">
        <v>18</v>
      </c>
      <c r="E88" s="4">
        <v>86558.58</v>
      </c>
      <c r="F88" s="5" t="s">
        <v>226</v>
      </c>
      <c r="G88" s="6">
        <v>1</v>
      </c>
      <c r="H88" t="s">
        <v>27</v>
      </c>
      <c r="I88" t="s">
        <v>14</v>
      </c>
    </row>
    <row r="89" spans="1:9" x14ac:dyDescent="0.3">
      <c r="A89" t="s">
        <v>227</v>
      </c>
      <c r="B89" t="s">
        <v>228</v>
      </c>
      <c r="C89" t="s">
        <v>17</v>
      </c>
      <c r="D89" t="s">
        <v>43</v>
      </c>
      <c r="E89" s="4">
        <v>84309.95</v>
      </c>
      <c r="F89" s="5">
        <v>44501</v>
      </c>
      <c r="G89" s="6">
        <v>1</v>
      </c>
      <c r="H89" t="s">
        <v>13</v>
      </c>
      <c r="I89" t="s">
        <v>14</v>
      </c>
    </row>
    <row r="90" spans="1:9" x14ac:dyDescent="0.3">
      <c r="A90" t="s">
        <v>229</v>
      </c>
      <c r="B90" t="s">
        <v>230</v>
      </c>
      <c r="C90" t="s">
        <v>11</v>
      </c>
      <c r="D90" t="s">
        <v>77</v>
      </c>
      <c r="E90" s="4">
        <v>91645.04</v>
      </c>
      <c r="F90" s="5">
        <v>44223</v>
      </c>
      <c r="G90" s="6">
        <v>1</v>
      </c>
      <c r="H90" t="s">
        <v>13</v>
      </c>
      <c r="I90" t="s">
        <v>60</v>
      </c>
    </row>
    <row r="91" spans="1:9" x14ac:dyDescent="0.3">
      <c r="A91" t="s">
        <v>231</v>
      </c>
      <c r="B91" t="s">
        <v>232</v>
      </c>
      <c r="C91" t="s">
        <v>17</v>
      </c>
      <c r="D91" t="s">
        <v>25</v>
      </c>
      <c r="E91" s="4">
        <v>101187.36</v>
      </c>
      <c r="F91" s="5">
        <v>43258</v>
      </c>
      <c r="G91" s="6">
        <v>1</v>
      </c>
      <c r="H91" t="s">
        <v>27</v>
      </c>
      <c r="I91" t="s">
        <v>55</v>
      </c>
    </row>
    <row r="92" spans="1:9" x14ac:dyDescent="0.3">
      <c r="A92" t="s">
        <v>132</v>
      </c>
      <c r="B92" t="s">
        <v>133</v>
      </c>
      <c r="C92" t="s">
        <v>11</v>
      </c>
      <c r="D92" t="s">
        <v>18</v>
      </c>
      <c r="E92" s="4">
        <v>80169.42</v>
      </c>
      <c r="F92" s="5" t="s">
        <v>134</v>
      </c>
      <c r="G92" s="6">
        <v>1</v>
      </c>
      <c r="H92" t="s">
        <v>13</v>
      </c>
      <c r="I92" t="s">
        <v>60</v>
      </c>
    </row>
    <row r="93" spans="1:9" x14ac:dyDescent="0.3">
      <c r="A93" t="s">
        <v>233</v>
      </c>
      <c r="B93" t="s">
        <v>234</v>
      </c>
      <c r="C93" t="s">
        <v>17</v>
      </c>
      <c r="D93" t="s">
        <v>37</v>
      </c>
      <c r="E93" s="4">
        <v>104038.9</v>
      </c>
      <c r="F93" s="5">
        <v>43815</v>
      </c>
      <c r="G93" s="6">
        <v>1</v>
      </c>
      <c r="H93" t="s">
        <v>27</v>
      </c>
      <c r="I93" t="s">
        <v>14</v>
      </c>
    </row>
    <row r="94" spans="1:9" x14ac:dyDescent="0.3">
      <c r="A94" t="s">
        <v>235</v>
      </c>
      <c r="B94" t="s">
        <v>236</v>
      </c>
      <c r="C94" t="s">
        <v>17</v>
      </c>
      <c r="D94" t="s">
        <v>43</v>
      </c>
      <c r="E94" s="4">
        <v>99683.67</v>
      </c>
      <c r="F94" s="5" t="s">
        <v>237</v>
      </c>
      <c r="G94" s="6">
        <v>1</v>
      </c>
      <c r="H94" t="s">
        <v>27</v>
      </c>
      <c r="I94" t="s">
        <v>19</v>
      </c>
    </row>
    <row r="95" spans="1:9" x14ac:dyDescent="0.3">
      <c r="A95" t="s">
        <v>238</v>
      </c>
      <c r="B95" t="s">
        <v>239</v>
      </c>
      <c r="C95" t="s">
        <v>11</v>
      </c>
      <c r="D95" t="s">
        <v>33</v>
      </c>
      <c r="E95" s="4">
        <v>47362.62</v>
      </c>
      <c r="F95" s="5" t="s">
        <v>240</v>
      </c>
      <c r="G95" s="6">
        <v>1</v>
      </c>
      <c r="H95" t="s">
        <v>59</v>
      </c>
      <c r="I95" t="s">
        <v>14</v>
      </c>
    </row>
    <row r="96" spans="1:9" x14ac:dyDescent="0.3">
      <c r="A96" t="s">
        <v>241</v>
      </c>
      <c r="B96" t="s">
        <v>577</v>
      </c>
      <c r="C96" t="s">
        <v>17</v>
      </c>
      <c r="D96" t="s">
        <v>18</v>
      </c>
      <c r="E96" s="4">
        <v>70649.460000000006</v>
      </c>
      <c r="F96" s="5" t="s">
        <v>242</v>
      </c>
      <c r="G96" s="6">
        <v>1</v>
      </c>
      <c r="H96" t="s">
        <v>13</v>
      </c>
      <c r="I96" t="s">
        <v>30</v>
      </c>
    </row>
    <row r="97" spans="1:9" x14ac:dyDescent="0.3">
      <c r="A97" t="s">
        <v>243</v>
      </c>
      <c r="B97" t="s">
        <v>578</v>
      </c>
      <c r="C97" t="s">
        <v>17</v>
      </c>
      <c r="D97" t="s">
        <v>99</v>
      </c>
      <c r="E97" s="4">
        <v>75733.740000000005</v>
      </c>
      <c r="F97" s="5" t="s">
        <v>244</v>
      </c>
      <c r="G97" s="6">
        <v>1</v>
      </c>
      <c r="H97" t="s">
        <v>13</v>
      </c>
      <c r="I97" t="s">
        <v>30</v>
      </c>
    </row>
    <row r="98" spans="1:9" x14ac:dyDescent="0.3">
      <c r="A98" t="s">
        <v>245</v>
      </c>
      <c r="B98" t="s">
        <v>246</v>
      </c>
      <c r="C98" t="s">
        <v>17</v>
      </c>
      <c r="D98" t="s">
        <v>77</v>
      </c>
      <c r="E98" s="4">
        <v>71823.56</v>
      </c>
      <c r="F98" s="5" t="s">
        <v>247</v>
      </c>
      <c r="G98" s="6">
        <v>0.3</v>
      </c>
      <c r="H98" t="s">
        <v>59</v>
      </c>
      <c r="I98" t="s">
        <v>14</v>
      </c>
    </row>
    <row r="99" spans="1:9" x14ac:dyDescent="0.3">
      <c r="A99" t="s">
        <v>248</v>
      </c>
      <c r="B99" t="s">
        <v>249</v>
      </c>
      <c r="C99" t="s">
        <v>17</v>
      </c>
      <c r="D99" t="s">
        <v>80</v>
      </c>
      <c r="E99" s="4">
        <v>41934.71</v>
      </c>
      <c r="F99" s="5">
        <v>43943</v>
      </c>
      <c r="G99" s="6">
        <v>1</v>
      </c>
      <c r="H99" t="s">
        <v>13</v>
      </c>
      <c r="I99" t="s">
        <v>14</v>
      </c>
    </row>
    <row r="100" spans="1:9" x14ac:dyDescent="0.3">
      <c r="A100" t="s">
        <v>250</v>
      </c>
      <c r="B100" t="s">
        <v>579</v>
      </c>
      <c r="C100" t="s">
        <v>11</v>
      </c>
      <c r="D100" t="s">
        <v>99</v>
      </c>
      <c r="E100" s="4">
        <v>66572.58</v>
      </c>
      <c r="F100" s="5" t="s">
        <v>251</v>
      </c>
      <c r="G100" s="6">
        <v>1</v>
      </c>
      <c r="H100" t="s">
        <v>13</v>
      </c>
      <c r="I100" t="s">
        <v>66</v>
      </c>
    </row>
    <row r="101" spans="1:9" x14ac:dyDescent="0.3">
      <c r="A101" t="s">
        <v>252</v>
      </c>
      <c r="B101" t="s">
        <v>580</v>
      </c>
      <c r="C101" t="s">
        <v>11</v>
      </c>
      <c r="D101" t="s">
        <v>40</v>
      </c>
      <c r="E101" s="4">
        <v>76932.600000000006</v>
      </c>
      <c r="F101" s="5" t="s">
        <v>253</v>
      </c>
      <c r="G101" s="6">
        <v>1</v>
      </c>
      <c r="H101" t="s">
        <v>13</v>
      </c>
      <c r="I101" t="s">
        <v>30</v>
      </c>
    </row>
    <row r="102" spans="1:9" x14ac:dyDescent="0.3">
      <c r="A102" t="s">
        <v>254</v>
      </c>
      <c r="B102" t="s">
        <v>255</v>
      </c>
      <c r="C102" t="s">
        <v>11</v>
      </c>
      <c r="D102" t="s">
        <v>37</v>
      </c>
      <c r="E102" s="4">
        <v>59258.19</v>
      </c>
      <c r="F102" s="5">
        <v>43452</v>
      </c>
      <c r="G102" s="6">
        <v>0.8</v>
      </c>
      <c r="H102" t="s">
        <v>13</v>
      </c>
      <c r="I102" t="s">
        <v>19</v>
      </c>
    </row>
    <row r="103" spans="1:9" x14ac:dyDescent="0.3">
      <c r="A103" t="s">
        <v>256</v>
      </c>
      <c r="B103" t="s">
        <v>257</v>
      </c>
      <c r="C103" t="s">
        <v>11</v>
      </c>
      <c r="D103" t="s">
        <v>25</v>
      </c>
      <c r="E103" s="4">
        <v>112778.28</v>
      </c>
      <c r="F103" s="5">
        <v>43250</v>
      </c>
      <c r="G103" s="6">
        <v>1</v>
      </c>
      <c r="H103" t="s">
        <v>27</v>
      </c>
      <c r="I103" t="s">
        <v>14</v>
      </c>
    </row>
    <row r="104" spans="1:9" x14ac:dyDescent="0.3">
      <c r="A104" t="s">
        <v>258</v>
      </c>
      <c r="B104" t="s">
        <v>259</v>
      </c>
      <c r="C104" t="s">
        <v>17</v>
      </c>
      <c r="D104" t="s">
        <v>77</v>
      </c>
      <c r="E104" s="4">
        <v>44845.33</v>
      </c>
      <c r="F104" s="5" t="s">
        <v>260</v>
      </c>
      <c r="G104" s="6">
        <v>1</v>
      </c>
      <c r="H104" t="s">
        <v>13</v>
      </c>
      <c r="I104" t="s">
        <v>19</v>
      </c>
    </row>
    <row r="105" spans="1:9" x14ac:dyDescent="0.3">
      <c r="A105" t="s">
        <v>261</v>
      </c>
      <c r="B105" t="s">
        <v>581</v>
      </c>
      <c r="C105" t="s">
        <v>11</v>
      </c>
      <c r="D105" t="s">
        <v>93</v>
      </c>
      <c r="E105" s="4">
        <v>115191.38</v>
      </c>
      <c r="F105" s="5">
        <v>44004</v>
      </c>
      <c r="G105" s="6">
        <v>1</v>
      </c>
      <c r="H105" t="s">
        <v>13</v>
      </c>
      <c r="I105" t="s">
        <v>30</v>
      </c>
    </row>
    <row r="106" spans="1:9" x14ac:dyDescent="0.3">
      <c r="A106" t="s">
        <v>262</v>
      </c>
      <c r="B106" t="s">
        <v>263</v>
      </c>
      <c r="C106" t="s">
        <v>17</v>
      </c>
      <c r="D106" t="s">
        <v>99</v>
      </c>
      <c r="E106" s="4">
        <v>111049.84</v>
      </c>
      <c r="F106" s="5">
        <v>44393</v>
      </c>
      <c r="G106" s="6">
        <v>1</v>
      </c>
      <c r="H106" t="s">
        <v>13</v>
      </c>
      <c r="I106" t="s">
        <v>35</v>
      </c>
    </row>
    <row r="107" spans="1:9" x14ac:dyDescent="0.3">
      <c r="A107" t="s">
        <v>264</v>
      </c>
      <c r="B107" t="s">
        <v>265</v>
      </c>
      <c r="C107" t="s">
        <v>17</v>
      </c>
      <c r="D107" t="s">
        <v>37</v>
      </c>
      <c r="E107" s="4">
        <v>75974.990000000005</v>
      </c>
      <c r="F107" s="5" t="s">
        <v>266</v>
      </c>
      <c r="G107" s="6">
        <v>1</v>
      </c>
      <c r="H107" t="s">
        <v>13</v>
      </c>
      <c r="I107" t="s">
        <v>14</v>
      </c>
    </row>
    <row r="108" spans="1:9" x14ac:dyDescent="0.3">
      <c r="A108" t="s">
        <v>267</v>
      </c>
      <c r="B108" t="s">
        <v>268</v>
      </c>
      <c r="C108" t="s">
        <v>17</v>
      </c>
      <c r="D108" t="s">
        <v>22</v>
      </c>
      <c r="E108" s="4">
        <v>42161.77</v>
      </c>
      <c r="F108" s="5" t="s">
        <v>269</v>
      </c>
      <c r="G108" s="6">
        <v>1</v>
      </c>
      <c r="H108" t="s">
        <v>13</v>
      </c>
      <c r="I108" t="s">
        <v>60</v>
      </c>
    </row>
    <row r="109" spans="1:9" x14ac:dyDescent="0.3">
      <c r="A109" t="s">
        <v>270</v>
      </c>
      <c r="B109" t="s">
        <v>582</v>
      </c>
      <c r="C109" t="s">
        <v>11</v>
      </c>
      <c r="D109" t="s">
        <v>18</v>
      </c>
      <c r="E109" s="4">
        <v>71371.37</v>
      </c>
      <c r="F109" s="5">
        <v>43392</v>
      </c>
      <c r="G109" s="6">
        <v>1</v>
      </c>
      <c r="H109" t="s">
        <v>13</v>
      </c>
      <c r="I109" t="s">
        <v>30</v>
      </c>
    </row>
    <row r="110" spans="1:9" x14ac:dyDescent="0.3">
      <c r="A110" t="s">
        <v>271</v>
      </c>
      <c r="B110" t="s">
        <v>272</v>
      </c>
      <c r="C110" t="s">
        <v>11</v>
      </c>
      <c r="D110" t="s">
        <v>77</v>
      </c>
      <c r="E110" s="4">
        <v>49915.14</v>
      </c>
      <c r="F110" s="5" t="s">
        <v>273</v>
      </c>
      <c r="G110" s="6">
        <v>1</v>
      </c>
      <c r="H110" t="s">
        <v>13</v>
      </c>
      <c r="I110" t="s">
        <v>14</v>
      </c>
    </row>
    <row r="111" spans="1:9" x14ac:dyDescent="0.3">
      <c r="A111" t="s">
        <v>195</v>
      </c>
      <c r="B111" t="s">
        <v>196</v>
      </c>
      <c r="C111" t="s">
        <v>17</v>
      </c>
      <c r="D111" t="s">
        <v>99</v>
      </c>
      <c r="E111" s="4">
        <v>0</v>
      </c>
      <c r="F111" s="5">
        <v>44011</v>
      </c>
      <c r="G111" s="6">
        <v>1</v>
      </c>
      <c r="H111" t="s">
        <v>13</v>
      </c>
      <c r="I111" t="s">
        <v>35</v>
      </c>
    </row>
    <row r="112" spans="1:9" x14ac:dyDescent="0.3">
      <c r="A112" t="s">
        <v>274</v>
      </c>
      <c r="B112" t="s">
        <v>583</v>
      </c>
      <c r="C112" t="s">
        <v>11</v>
      </c>
      <c r="D112" t="s">
        <v>37</v>
      </c>
      <c r="E112" s="4">
        <v>37062.1</v>
      </c>
      <c r="F112" s="5">
        <v>44357</v>
      </c>
      <c r="G112" s="6">
        <v>1</v>
      </c>
      <c r="H112" t="s">
        <v>59</v>
      </c>
      <c r="I112" t="s">
        <v>66</v>
      </c>
    </row>
    <row r="113" spans="1:9" x14ac:dyDescent="0.3">
      <c r="A113" t="s">
        <v>275</v>
      </c>
      <c r="B113" t="s">
        <v>276</v>
      </c>
      <c r="C113" t="s">
        <v>17</v>
      </c>
      <c r="D113" t="s">
        <v>43</v>
      </c>
      <c r="E113" s="4">
        <v>0</v>
      </c>
      <c r="F113" s="5">
        <v>43504</v>
      </c>
      <c r="G113" s="6">
        <v>1</v>
      </c>
      <c r="H113" t="s">
        <v>13</v>
      </c>
      <c r="I113" t="s">
        <v>14</v>
      </c>
    </row>
    <row r="114" spans="1:9" x14ac:dyDescent="0.3">
      <c r="A114" t="s">
        <v>277</v>
      </c>
      <c r="B114" t="s">
        <v>278</v>
      </c>
      <c r="C114" t="s">
        <v>11</v>
      </c>
      <c r="D114" t="s">
        <v>77</v>
      </c>
      <c r="E114" s="4"/>
      <c r="F114" s="5">
        <v>44077</v>
      </c>
      <c r="G114" s="6">
        <v>1</v>
      </c>
      <c r="H114" t="s">
        <v>27</v>
      </c>
      <c r="I114" t="s">
        <v>55</v>
      </c>
    </row>
    <row r="115" spans="1:9" x14ac:dyDescent="0.3">
      <c r="A115" t="s">
        <v>100</v>
      </c>
      <c r="B115" t="s">
        <v>101</v>
      </c>
      <c r="C115" t="s">
        <v>11</v>
      </c>
      <c r="D115" t="s">
        <v>18</v>
      </c>
      <c r="E115" s="4">
        <v>90884.32</v>
      </c>
      <c r="F115" s="5" t="s">
        <v>102</v>
      </c>
      <c r="G115" s="6">
        <v>1</v>
      </c>
      <c r="H115" t="s">
        <v>13</v>
      </c>
      <c r="I115" t="s">
        <v>55</v>
      </c>
    </row>
    <row r="116" spans="1:9" x14ac:dyDescent="0.3">
      <c r="A116" t="s">
        <v>279</v>
      </c>
      <c r="B116" t="s">
        <v>280</v>
      </c>
      <c r="C116" t="s">
        <v>11</v>
      </c>
      <c r="D116" t="s">
        <v>99</v>
      </c>
      <c r="E116" s="4">
        <v>89838.77</v>
      </c>
      <c r="F116" s="5">
        <v>43602</v>
      </c>
      <c r="G116" s="6">
        <v>1</v>
      </c>
      <c r="H116" t="s">
        <v>13</v>
      </c>
      <c r="I116" t="s">
        <v>14</v>
      </c>
    </row>
    <row r="117" spans="1:9" x14ac:dyDescent="0.3">
      <c r="A117" t="s">
        <v>281</v>
      </c>
      <c r="B117" t="s">
        <v>584</v>
      </c>
      <c r="C117" t="s">
        <v>11</v>
      </c>
      <c r="D117" t="s">
        <v>99</v>
      </c>
      <c r="E117" s="4">
        <v>0</v>
      </c>
      <c r="F117" s="5" t="s">
        <v>282</v>
      </c>
      <c r="G117" s="6">
        <v>1</v>
      </c>
      <c r="H117" t="s">
        <v>13</v>
      </c>
      <c r="I117" t="s">
        <v>66</v>
      </c>
    </row>
    <row r="118" spans="1:9" x14ac:dyDescent="0.3">
      <c r="A118" t="s">
        <v>283</v>
      </c>
      <c r="B118" t="s">
        <v>284</v>
      </c>
      <c r="C118" t="s">
        <v>17</v>
      </c>
      <c r="D118" t="s">
        <v>77</v>
      </c>
      <c r="E118" s="4">
        <v>68887.839999999997</v>
      </c>
      <c r="F118" s="5">
        <v>43297</v>
      </c>
      <c r="G118" s="6">
        <v>1</v>
      </c>
      <c r="H118" t="s">
        <v>13</v>
      </c>
      <c r="I118" t="s">
        <v>14</v>
      </c>
    </row>
    <row r="119" spans="1:9" x14ac:dyDescent="0.3">
      <c r="A119" t="s">
        <v>205</v>
      </c>
      <c r="B119" t="s">
        <v>585</v>
      </c>
      <c r="C119" t="s">
        <v>11</v>
      </c>
      <c r="D119" t="s">
        <v>93</v>
      </c>
      <c r="E119" s="4">
        <v>106775.14</v>
      </c>
      <c r="F119" s="5">
        <v>43563</v>
      </c>
      <c r="G119" s="6">
        <v>1</v>
      </c>
      <c r="H119" t="s">
        <v>27</v>
      </c>
      <c r="I119" t="s">
        <v>30</v>
      </c>
    </row>
    <row r="120" spans="1:9" x14ac:dyDescent="0.3">
      <c r="A120" t="s">
        <v>285</v>
      </c>
      <c r="B120" t="s">
        <v>586</v>
      </c>
      <c r="C120" t="s">
        <v>17</v>
      </c>
      <c r="D120" t="s">
        <v>22</v>
      </c>
      <c r="E120" s="4">
        <v>89690.38</v>
      </c>
      <c r="F120" s="5" t="s">
        <v>286</v>
      </c>
      <c r="G120" s="6">
        <v>1</v>
      </c>
      <c r="H120" t="s">
        <v>13</v>
      </c>
      <c r="I120" t="s">
        <v>30</v>
      </c>
    </row>
    <row r="121" spans="1:9" x14ac:dyDescent="0.3">
      <c r="A121" t="s">
        <v>287</v>
      </c>
      <c r="B121" t="s">
        <v>288</v>
      </c>
      <c r="C121" t="s">
        <v>11</v>
      </c>
      <c r="D121" t="s">
        <v>93</v>
      </c>
      <c r="E121" s="4">
        <v>111229.47</v>
      </c>
      <c r="F121" s="5" t="s">
        <v>289</v>
      </c>
      <c r="G121" s="6">
        <v>1</v>
      </c>
      <c r="H121" t="s">
        <v>13</v>
      </c>
      <c r="I121" t="s">
        <v>14</v>
      </c>
    </row>
    <row r="122" spans="1:9" x14ac:dyDescent="0.3">
      <c r="A122" t="s">
        <v>290</v>
      </c>
      <c r="B122" t="s">
        <v>291</v>
      </c>
      <c r="C122" t="s">
        <v>11</v>
      </c>
      <c r="D122" t="s">
        <v>77</v>
      </c>
      <c r="E122" s="4">
        <v>67633.850000000006</v>
      </c>
      <c r="F122" s="5">
        <v>43340</v>
      </c>
      <c r="G122" s="6">
        <v>1</v>
      </c>
      <c r="H122" t="s">
        <v>13</v>
      </c>
      <c r="I122" t="s">
        <v>55</v>
      </c>
    </row>
    <row r="123" spans="1:9" x14ac:dyDescent="0.3">
      <c r="A123" t="s">
        <v>292</v>
      </c>
      <c r="B123" t="s">
        <v>293</v>
      </c>
      <c r="C123" t="s">
        <v>11</v>
      </c>
      <c r="D123" t="s">
        <v>22</v>
      </c>
      <c r="E123" s="4">
        <v>111815.49</v>
      </c>
      <c r="F123" s="5">
        <v>43895</v>
      </c>
      <c r="G123" s="6">
        <v>0.7</v>
      </c>
      <c r="H123" t="s">
        <v>59</v>
      </c>
      <c r="I123" t="s">
        <v>14</v>
      </c>
    </row>
    <row r="124" spans="1:9" x14ac:dyDescent="0.3">
      <c r="A124" t="s">
        <v>294</v>
      </c>
      <c r="B124" t="s">
        <v>587</v>
      </c>
      <c r="C124" t="s">
        <v>11</v>
      </c>
      <c r="D124" t="s">
        <v>18</v>
      </c>
      <c r="E124" s="4">
        <v>39784.239999999998</v>
      </c>
      <c r="F124" s="5" t="s">
        <v>295</v>
      </c>
      <c r="G124" s="6">
        <v>1</v>
      </c>
      <c r="H124" t="s">
        <v>27</v>
      </c>
      <c r="I124" t="s">
        <v>66</v>
      </c>
    </row>
    <row r="125" spans="1:9" x14ac:dyDescent="0.3">
      <c r="A125" t="s">
        <v>296</v>
      </c>
      <c r="B125" t="s">
        <v>588</v>
      </c>
      <c r="C125" t="s">
        <v>17</v>
      </c>
      <c r="D125" t="s">
        <v>93</v>
      </c>
      <c r="E125" s="4">
        <v>89829.33</v>
      </c>
      <c r="F125" s="5">
        <v>43794</v>
      </c>
      <c r="G125" s="6">
        <v>1</v>
      </c>
      <c r="H125" t="s">
        <v>59</v>
      </c>
      <c r="I125" t="s">
        <v>66</v>
      </c>
    </row>
    <row r="126" spans="1:9" x14ac:dyDescent="0.3">
      <c r="A126" t="s">
        <v>292</v>
      </c>
      <c r="B126" t="s">
        <v>293</v>
      </c>
      <c r="C126" t="s">
        <v>11</v>
      </c>
      <c r="D126" t="s">
        <v>22</v>
      </c>
      <c r="E126" s="4">
        <v>111815.49</v>
      </c>
      <c r="F126" s="5">
        <v>43895</v>
      </c>
      <c r="G126" s="6">
        <v>0.7</v>
      </c>
      <c r="H126" t="s">
        <v>59</v>
      </c>
      <c r="I126" t="s">
        <v>14</v>
      </c>
    </row>
    <row r="127" spans="1:9" x14ac:dyDescent="0.3">
      <c r="A127" t="s">
        <v>297</v>
      </c>
      <c r="B127" t="s">
        <v>298</v>
      </c>
      <c r="C127" t="s">
        <v>11</v>
      </c>
      <c r="D127" t="s">
        <v>99</v>
      </c>
      <c r="E127" s="4">
        <v>72843.23</v>
      </c>
      <c r="F127" s="5">
        <v>43280</v>
      </c>
      <c r="G127" s="6">
        <v>1</v>
      </c>
      <c r="H127" t="s">
        <v>27</v>
      </c>
      <c r="I127" t="s">
        <v>35</v>
      </c>
    </row>
    <row r="128" spans="1:9" x14ac:dyDescent="0.3">
      <c r="A128" t="s">
        <v>245</v>
      </c>
      <c r="B128" t="s">
        <v>246</v>
      </c>
      <c r="C128" t="s">
        <v>17</v>
      </c>
      <c r="D128" t="s">
        <v>77</v>
      </c>
      <c r="E128" s="4">
        <v>71823.56</v>
      </c>
      <c r="F128" s="5" t="s">
        <v>247</v>
      </c>
      <c r="G128" s="6">
        <v>0.3</v>
      </c>
      <c r="H128" t="s">
        <v>59</v>
      </c>
      <c r="I128" t="s">
        <v>14</v>
      </c>
    </row>
    <row r="129" spans="1:9" x14ac:dyDescent="0.3">
      <c r="A129" t="s">
        <v>299</v>
      </c>
      <c r="B129" t="s">
        <v>300</v>
      </c>
      <c r="C129" t="s">
        <v>11</v>
      </c>
      <c r="D129" t="s">
        <v>18</v>
      </c>
      <c r="E129" s="4">
        <v>88511.17</v>
      </c>
      <c r="F129" s="5" t="s">
        <v>301</v>
      </c>
      <c r="G129" s="6">
        <v>1</v>
      </c>
      <c r="H129" t="s">
        <v>13</v>
      </c>
      <c r="I129" t="s">
        <v>55</v>
      </c>
    </row>
    <row r="130" spans="1:9" x14ac:dyDescent="0.3">
      <c r="A130" t="s">
        <v>302</v>
      </c>
      <c r="B130" t="s">
        <v>303</v>
      </c>
      <c r="C130" t="s">
        <v>11</v>
      </c>
      <c r="D130" t="s">
        <v>77</v>
      </c>
      <c r="E130" s="4">
        <v>36547.58</v>
      </c>
      <c r="F130" s="5">
        <v>43416</v>
      </c>
      <c r="G130" s="6">
        <v>1</v>
      </c>
      <c r="H130" t="s">
        <v>13</v>
      </c>
      <c r="I130" t="s">
        <v>14</v>
      </c>
    </row>
    <row r="131" spans="1:9" x14ac:dyDescent="0.3">
      <c r="A131" t="s">
        <v>304</v>
      </c>
      <c r="B131" t="s">
        <v>589</v>
      </c>
      <c r="C131" t="s">
        <v>11</v>
      </c>
      <c r="D131" t="s">
        <v>77</v>
      </c>
      <c r="E131" s="4">
        <v>95954.02</v>
      </c>
      <c r="F131" s="5">
        <v>43567</v>
      </c>
      <c r="G131" s="6">
        <v>0.3</v>
      </c>
      <c r="H131" t="s">
        <v>13</v>
      </c>
      <c r="I131" t="s">
        <v>30</v>
      </c>
    </row>
    <row r="132" spans="1:9" x14ac:dyDescent="0.3">
      <c r="A132" t="s">
        <v>305</v>
      </c>
      <c r="B132" t="s">
        <v>590</v>
      </c>
      <c r="C132" t="s">
        <v>17</v>
      </c>
      <c r="D132" t="s">
        <v>25</v>
      </c>
      <c r="E132" s="4">
        <v>95677.9</v>
      </c>
      <c r="F132" s="5" t="s">
        <v>306</v>
      </c>
      <c r="G132" s="6">
        <v>0.3</v>
      </c>
      <c r="H132" t="s">
        <v>13</v>
      </c>
      <c r="I132" t="s">
        <v>66</v>
      </c>
    </row>
    <row r="133" spans="1:9" x14ac:dyDescent="0.3">
      <c r="A133" t="s">
        <v>307</v>
      </c>
      <c r="B133" t="s">
        <v>591</v>
      </c>
      <c r="C133" t="s">
        <v>17</v>
      </c>
      <c r="D133" t="s">
        <v>77</v>
      </c>
      <c r="E133" s="4">
        <v>76303.820000000007</v>
      </c>
      <c r="F133" s="5">
        <v>43458</v>
      </c>
      <c r="G133" s="6">
        <v>1</v>
      </c>
      <c r="H133" t="s">
        <v>27</v>
      </c>
      <c r="I133" t="s">
        <v>30</v>
      </c>
    </row>
    <row r="134" spans="1:9" x14ac:dyDescent="0.3">
      <c r="A134" t="s">
        <v>308</v>
      </c>
      <c r="B134" t="s">
        <v>309</v>
      </c>
      <c r="C134" t="s">
        <v>17</v>
      </c>
      <c r="D134" t="s">
        <v>43</v>
      </c>
      <c r="E134" s="4"/>
      <c r="F134" s="5">
        <v>43538</v>
      </c>
      <c r="G134" s="6">
        <v>1</v>
      </c>
      <c r="H134" t="s">
        <v>13</v>
      </c>
      <c r="I134" t="s">
        <v>60</v>
      </c>
    </row>
    <row r="135" spans="1:9" x14ac:dyDescent="0.3">
      <c r="A135" t="s">
        <v>310</v>
      </c>
      <c r="B135" t="s">
        <v>311</v>
      </c>
      <c r="C135" t="s">
        <v>11</v>
      </c>
      <c r="D135" t="s">
        <v>99</v>
      </c>
      <c r="E135" s="4">
        <v>99460.78</v>
      </c>
      <c r="F135" s="5" t="s">
        <v>312</v>
      </c>
      <c r="G135" s="6">
        <v>1</v>
      </c>
      <c r="H135" t="s">
        <v>13</v>
      </c>
      <c r="I135" t="s">
        <v>14</v>
      </c>
    </row>
    <row r="136" spans="1:9" x14ac:dyDescent="0.3">
      <c r="A136" t="s">
        <v>313</v>
      </c>
      <c r="B136" t="s">
        <v>314</v>
      </c>
      <c r="C136" t="s">
        <v>17</v>
      </c>
      <c r="D136" t="s">
        <v>37</v>
      </c>
      <c r="E136" s="4">
        <v>88034.67</v>
      </c>
      <c r="F136" s="5">
        <v>43669</v>
      </c>
      <c r="G136" s="6">
        <v>1</v>
      </c>
      <c r="H136" t="s">
        <v>13</v>
      </c>
      <c r="I136" t="s">
        <v>14</v>
      </c>
    </row>
    <row r="137" spans="1:9" x14ac:dyDescent="0.3">
      <c r="A137" t="s">
        <v>315</v>
      </c>
      <c r="B137" t="s">
        <v>316</v>
      </c>
      <c r="C137" t="s">
        <v>17</v>
      </c>
      <c r="D137" t="s">
        <v>43</v>
      </c>
      <c r="E137" s="4">
        <v>44447.26</v>
      </c>
      <c r="F137" s="5">
        <v>43846</v>
      </c>
      <c r="G137" s="6">
        <v>0.4</v>
      </c>
      <c r="H137" t="s">
        <v>13</v>
      </c>
      <c r="I137" t="s">
        <v>19</v>
      </c>
    </row>
    <row r="138" spans="1:9" x14ac:dyDescent="0.3">
      <c r="A138" t="s">
        <v>317</v>
      </c>
      <c r="B138" t="s">
        <v>592</v>
      </c>
      <c r="C138" t="s">
        <v>11</v>
      </c>
      <c r="D138" t="s">
        <v>93</v>
      </c>
      <c r="E138" s="4">
        <v>40445.29</v>
      </c>
      <c r="F138" s="5">
        <v>44393</v>
      </c>
      <c r="G138" s="6">
        <v>1</v>
      </c>
      <c r="H138" t="s">
        <v>13</v>
      </c>
      <c r="I138" t="s">
        <v>66</v>
      </c>
    </row>
    <row r="139" spans="1:9" x14ac:dyDescent="0.3">
      <c r="A139" t="s">
        <v>318</v>
      </c>
      <c r="B139" t="s">
        <v>593</v>
      </c>
      <c r="C139" t="s">
        <v>17</v>
      </c>
      <c r="D139" t="s">
        <v>43</v>
      </c>
      <c r="E139" s="4">
        <v>92336.08</v>
      </c>
      <c r="F139" s="5">
        <v>44431</v>
      </c>
      <c r="G139" s="6">
        <v>1</v>
      </c>
      <c r="H139" t="s">
        <v>13</v>
      </c>
      <c r="I139" t="s">
        <v>30</v>
      </c>
    </row>
    <row r="140" spans="1:9" x14ac:dyDescent="0.3">
      <c r="A140" t="s">
        <v>319</v>
      </c>
      <c r="B140" t="s">
        <v>320</v>
      </c>
      <c r="C140" t="s">
        <v>17</v>
      </c>
      <c r="D140" t="s">
        <v>40</v>
      </c>
      <c r="E140" s="4">
        <v>68008.55</v>
      </c>
      <c r="F140" s="5">
        <v>44062</v>
      </c>
      <c r="G140" s="6">
        <v>1</v>
      </c>
      <c r="H140" t="s">
        <v>13</v>
      </c>
      <c r="I140" t="s">
        <v>60</v>
      </c>
    </row>
    <row r="141" spans="1:9" x14ac:dyDescent="0.3">
      <c r="A141" t="s">
        <v>321</v>
      </c>
      <c r="B141" t="s">
        <v>594</v>
      </c>
      <c r="C141" t="s">
        <v>11</v>
      </c>
      <c r="D141" t="s">
        <v>93</v>
      </c>
      <c r="E141" s="4">
        <v>74924.649999999994</v>
      </c>
      <c r="F141" s="5" t="s">
        <v>322</v>
      </c>
      <c r="G141" s="6">
        <v>1</v>
      </c>
      <c r="H141" t="s">
        <v>13</v>
      </c>
      <c r="I141" t="s">
        <v>30</v>
      </c>
    </row>
    <row r="142" spans="1:9" x14ac:dyDescent="0.3">
      <c r="A142" t="s">
        <v>163</v>
      </c>
      <c r="B142" t="s">
        <v>164</v>
      </c>
      <c r="C142" t="s">
        <v>11</v>
      </c>
      <c r="D142" t="s">
        <v>37</v>
      </c>
      <c r="E142" s="4"/>
      <c r="F142" s="5" t="s">
        <v>165</v>
      </c>
      <c r="G142" s="6">
        <v>0.2</v>
      </c>
      <c r="H142" t="s">
        <v>13</v>
      </c>
      <c r="I142" t="s">
        <v>60</v>
      </c>
    </row>
    <row r="143" spans="1:9" x14ac:dyDescent="0.3">
      <c r="A143" t="s">
        <v>323</v>
      </c>
      <c r="B143" t="s">
        <v>324</v>
      </c>
      <c r="C143" t="s">
        <v>11</v>
      </c>
      <c r="D143" t="s">
        <v>22</v>
      </c>
      <c r="E143" s="4">
        <v>88689.09</v>
      </c>
      <c r="F143" s="5" t="s">
        <v>325</v>
      </c>
      <c r="G143" s="6">
        <v>1</v>
      </c>
      <c r="H143" t="s">
        <v>13</v>
      </c>
      <c r="I143" t="s">
        <v>19</v>
      </c>
    </row>
    <row r="144" spans="1:9" x14ac:dyDescent="0.3">
      <c r="A144" t="s">
        <v>326</v>
      </c>
      <c r="B144" t="s">
        <v>595</v>
      </c>
      <c r="C144" t="s">
        <v>17</v>
      </c>
      <c r="D144" t="s">
        <v>43</v>
      </c>
      <c r="E144" s="4">
        <v>96555.53</v>
      </c>
      <c r="F144" s="5">
        <v>43489</v>
      </c>
      <c r="G144" s="6">
        <v>0.2</v>
      </c>
      <c r="H144" t="s">
        <v>59</v>
      </c>
      <c r="I144" t="s">
        <v>30</v>
      </c>
    </row>
    <row r="145" spans="1:9" x14ac:dyDescent="0.3">
      <c r="A145" t="s">
        <v>327</v>
      </c>
      <c r="B145" t="s">
        <v>596</v>
      </c>
      <c r="C145" t="s">
        <v>17</v>
      </c>
      <c r="D145" t="s">
        <v>37</v>
      </c>
      <c r="E145" s="4">
        <v>71924.850000000006</v>
      </c>
      <c r="F145" s="5">
        <v>43822</v>
      </c>
      <c r="G145" s="6">
        <v>1</v>
      </c>
      <c r="H145" t="s">
        <v>13</v>
      </c>
      <c r="I145" t="s">
        <v>66</v>
      </c>
    </row>
    <row r="146" spans="1:9" x14ac:dyDescent="0.3">
      <c r="A146" t="s">
        <v>328</v>
      </c>
      <c r="B146" t="s">
        <v>329</v>
      </c>
      <c r="C146" t="s">
        <v>11</v>
      </c>
      <c r="D146" t="s">
        <v>93</v>
      </c>
      <c r="E146" s="4">
        <v>31241.24</v>
      </c>
      <c r="F146" s="5">
        <v>43725</v>
      </c>
      <c r="G146" s="6">
        <v>1</v>
      </c>
      <c r="H146" t="s">
        <v>13</v>
      </c>
      <c r="I146" t="s">
        <v>14</v>
      </c>
    </row>
    <row r="147" spans="1:9" x14ac:dyDescent="0.3">
      <c r="A147" t="s">
        <v>330</v>
      </c>
      <c r="B147" t="s">
        <v>331</v>
      </c>
      <c r="C147" t="s">
        <v>11</v>
      </c>
      <c r="D147" t="s">
        <v>18</v>
      </c>
      <c r="E147" s="4">
        <v>110042.37</v>
      </c>
      <c r="F147" s="5">
        <v>43914</v>
      </c>
      <c r="G147" s="6">
        <v>1</v>
      </c>
      <c r="H147" t="s">
        <v>13</v>
      </c>
      <c r="I147" t="s">
        <v>55</v>
      </c>
    </row>
    <row r="148" spans="1:9" x14ac:dyDescent="0.3">
      <c r="A148" t="s">
        <v>64</v>
      </c>
      <c r="B148" t="s">
        <v>597</v>
      </c>
      <c r="C148" t="s">
        <v>17</v>
      </c>
      <c r="D148" t="s">
        <v>25</v>
      </c>
      <c r="E148" s="4">
        <v>37902.35</v>
      </c>
      <c r="F148" s="5" t="s">
        <v>65</v>
      </c>
      <c r="G148" s="6">
        <v>1</v>
      </c>
      <c r="H148" t="s">
        <v>13</v>
      </c>
      <c r="I148" t="s">
        <v>66</v>
      </c>
    </row>
    <row r="149" spans="1:9" x14ac:dyDescent="0.3">
      <c r="A149" t="s">
        <v>332</v>
      </c>
      <c r="B149" t="s">
        <v>598</v>
      </c>
      <c r="C149" t="s">
        <v>17</v>
      </c>
      <c r="D149" t="s">
        <v>18</v>
      </c>
      <c r="E149" s="4">
        <v>33031.26</v>
      </c>
      <c r="F149" s="5" t="s">
        <v>333</v>
      </c>
      <c r="G149" s="6">
        <v>0.4</v>
      </c>
      <c r="H149" t="s">
        <v>13</v>
      </c>
      <c r="I149" t="s">
        <v>30</v>
      </c>
    </row>
    <row r="150" spans="1:9" x14ac:dyDescent="0.3">
      <c r="A150" t="s">
        <v>334</v>
      </c>
      <c r="B150" t="s">
        <v>335</v>
      </c>
      <c r="C150" t="s">
        <v>17</v>
      </c>
      <c r="D150" t="s">
        <v>99</v>
      </c>
      <c r="E150" s="4">
        <v>32496.880000000001</v>
      </c>
      <c r="F150" s="5">
        <v>43234</v>
      </c>
      <c r="G150" s="6">
        <v>1</v>
      </c>
      <c r="H150" t="s">
        <v>59</v>
      </c>
      <c r="I150" t="s">
        <v>14</v>
      </c>
    </row>
    <row r="151" spans="1:9" x14ac:dyDescent="0.3">
      <c r="A151" t="s">
        <v>336</v>
      </c>
      <c r="B151" t="s">
        <v>337</v>
      </c>
      <c r="C151" t="s">
        <v>17</v>
      </c>
      <c r="D151" t="s">
        <v>22</v>
      </c>
      <c r="E151" s="4">
        <v>81897.789999999994</v>
      </c>
      <c r="F151" s="5">
        <v>43146</v>
      </c>
      <c r="G151" s="6">
        <v>1</v>
      </c>
      <c r="H151" t="s">
        <v>13</v>
      </c>
      <c r="I151" t="s">
        <v>60</v>
      </c>
    </row>
    <row r="152" spans="1:9" x14ac:dyDescent="0.3">
      <c r="A152" t="s">
        <v>338</v>
      </c>
      <c r="B152" t="s">
        <v>339</v>
      </c>
      <c r="C152" t="s">
        <v>11</v>
      </c>
      <c r="D152" t="s">
        <v>33</v>
      </c>
      <c r="E152" s="4">
        <v>108872.77</v>
      </c>
      <c r="F152" s="5">
        <v>43521</v>
      </c>
      <c r="G152" s="6">
        <v>1</v>
      </c>
      <c r="H152" t="s">
        <v>13</v>
      </c>
      <c r="I152" t="s">
        <v>14</v>
      </c>
    </row>
    <row r="153" spans="1:9" x14ac:dyDescent="0.3">
      <c r="A153" t="s">
        <v>340</v>
      </c>
      <c r="B153" t="s">
        <v>341</v>
      </c>
      <c r="C153" t="s">
        <v>11</v>
      </c>
      <c r="D153" t="s">
        <v>40</v>
      </c>
      <c r="E153" s="4">
        <v>89605.13</v>
      </c>
      <c r="F153" s="5" t="s">
        <v>342</v>
      </c>
      <c r="G153" s="6">
        <v>1</v>
      </c>
      <c r="H153" t="s">
        <v>13</v>
      </c>
      <c r="I153" t="s">
        <v>19</v>
      </c>
    </row>
    <row r="154" spans="1:9" x14ac:dyDescent="0.3">
      <c r="A154" t="s">
        <v>343</v>
      </c>
      <c r="B154" t="s">
        <v>344</v>
      </c>
      <c r="D154" t="s">
        <v>99</v>
      </c>
      <c r="E154" s="4">
        <v>63447.07</v>
      </c>
      <c r="F154" s="5" t="s">
        <v>345</v>
      </c>
      <c r="G154" s="6">
        <v>1</v>
      </c>
      <c r="H154" t="s">
        <v>59</v>
      </c>
      <c r="I154" t="s">
        <v>35</v>
      </c>
    </row>
    <row r="155" spans="1:9" x14ac:dyDescent="0.3">
      <c r="A155" t="s">
        <v>346</v>
      </c>
      <c r="B155" t="s">
        <v>347</v>
      </c>
      <c r="C155" t="s">
        <v>17</v>
      </c>
      <c r="D155" t="s">
        <v>93</v>
      </c>
      <c r="E155" s="4">
        <v>106665.67</v>
      </c>
      <c r="F155" s="5">
        <v>43311</v>
      </c>
      <c r="G155" s="6">
        <v>1</v>
      </c>
      <c r="H155" t="s">
        <v>59</v>
      </c>
      <c r="I155" t="s">
        <v>55</v>
      </c>
    </row>
    <row r="156" spans="1:9" x14ac:dyDescent="0.3">
      <c r="A156" t="s">
        <v>348</v>
      </c>
      <c r="B156" t="s">
        <v>349</v>
      </c>
      <c r="C156" t="s">
        <v>11</v>
      </c>
      <c r="D156" t="s">
        <v>22</v>
      </c>
      <c r="E156" s="4">
        <v>100424.23</v>
      </c>
      <c r="F156" s="5">
        <v>43801</v>
      </c>
      <c r="G156" s="6">
        <v>1</v>
      </c>
      <c r="H156" t="s">
        <v>13</v>
      </c>
      <c r="I156" t="s">
        <v>60</v>
      </c>
    </row>
    <row r="157" spans="1:9" x14ac:dyDescent="0.3">
      <c r="A157" t="s">
        <v>350</v>
      </c>
      <c r="B157" t="s">
        <v>599</v>
      </c>
      <c r="C157" t="s">
        <v>11</v>
      </c>
      <c r="D157" t="s">
        <v>22</v>
      </c>
      <c r="E157" s="4">
        <v>47646.95</v>
      </c>
      <c r="F157" s="5">
        <v>43791</v>
      </c>
      <c r="G157" s="6">
        <v>0.3</v>
      </c>
      <c r="H157" t="s">
        <v>27</v>
      </c>
      <c r="I157" t="s">
        <v>66</v>
      </c>
    </row>
    <row r="158" spans="1:9" x14ac:dyDescent="0.3">
      <c r="A158" t="s">
        <v>351</v>
      </c>
      <c r="B158" t="s">
        <v>600</v>
      </c>
      <c r="C158" t="s">
        <v>11</v>
      </c>
      <c r="D158" t="s">
        <v>99</v>
      </c>
      <c r="E158" s="4">
        <v>28481.16</v>
      </c>
      <c r="F158" s="5">
        <v>43916</v>
      </c>
      <c r="G158" s="6">
        <v>1</v>
      </c>
      <c r="H158" t="s">
        <v>13</v>
      </c>
      <c r="I158" t="s">
        <v>30</v>
      </c>
    </row>
    <row r="159" spans="1:9" x14ac:dyDescent="0.3">
      <c r="A159" t="s">
        <v>275</v>
      </c>
      <c r="B159" t="s">
        <v>276</v>
      </c>
      <c r="C159" t="s">
        <v>17</v>
      </c>
      <c r="D159" t="s">
        <v>43</v>
      </c>
      <c r="E159" s="4"/>
      <c r="F159" s="5">
        <v>43504</v>
      </c>
      <c r="G159" s="6">
        <v>1</v>
      </c>
      <c r="H159" t="s">
        <v>13</v>
      </c>
      <c r="I159" t="s">
        <v>14</v>
      </c>
    </row>
    <row r="160" spans="1:9" x14ac:dyDescent="0.3">
      <c r="A160" t="s">
        <v>352</v>
      </c>
      <c r="B160" t="s">
        <v>353</v>
      </c>
      <c r="C160" t="s">
        <v>17</v>
      </c>
      <c r="D160" t="s">
        <v>80</v>
      </c>
      <c r="E160" s="4">
        <v>39535.49</v>
      </c>
      <c r="F160" s="5">
        <v>43397</v>
      </c>
      <c r="G160" s="6">
        <v>0.3</v>
      </c>
      <c r="H160" t="s">
        <v>13</v>
      </c>
      <c r="I160" t="s">
        <v>14</v>
      </c>
    </row>
    <row r="161" spans="1:9" x14ac:dyDescent="0.3">
      <c r="A161" t="s">
        <v>354</v>
      </c>
      <c r="B161" t="s">
        <v>355</v>
      </c>
      <c r="C161" t="s">
        <v>11</v>
      </c>
      <c r="D161" t="s">
        <v>37</v>
      </c>
      <c r="E161" s="4">
        <v>95017.1</v>
      </c>
      <c r="F161" s="5">
        <v>43283</v>
      </c>
      <c r="G161" s="6">
        <v>1</v>
      </c>
      <c r="H161" t="s">
        <v>27</v>
      </c>
      <c r="I161" t="s">
        <v>19</v>
      </c>
    </row>
    <row r="162" spans="1:9" x14ac:dyDescent="0.3">
      <c r="A162" t="s">
        <v>356</v>
      </c>
      <c r="B162" t="s">
        <v>357</v>
      </c>
      <c r="C162" t="s">
        <v>11</v>
      </c>
      <c r="D162" t="s">
        <v>18</v>
      </c>
      <c r="E162" s="4">
        <v>69764.100000000006</v>
      </c>
      <c r="F162" s="5">
        <v>44195</v>
      </c>
      <c r="G162" s="6">
        <v>1</v>
      </c>
      <c r="H162" t="s">
        <v>27</v>
      </c>
      <c r="I162" t="s">
        <v>19</v>
      </c>
    </row>
    <row r="163" spans="1:9" x14ac:dyDescent="0.3">
      <c r="A163" t="s">
        <v>358</v>
      </c>
      <c r="B163" t="s">
        <v>359</v>
      </c>
      <c r="C163" t="s">
        <v>17</v>
      </c>
      <c r="D163" t="s">
        <v>80</v>
      </c>
      <c r="E163" s="4">
        <v>84598.88</v>
      </c>
      <c r="F163" s="5" t="s">
        <v>360</v>
      </c>
      <c r="G163" s="6">
        <v>1</v>
      </c>
      <c r="H163" t="s">
        <v>27</v>
      </c>
      <c r="I163" t="s">
        <v>19</v>
      </c>
    </row>
    <row r="164" spans="1:9" x14ac:dyDescent="0.3">
      <c r="A164" t="s">
        <v>361</v>
      </c>
      <c r="B164" t="s">
        <v>601</v>
      </c>
      <c r="C164" t="s">
        <v>11</v>
      </c>
      <c r="D164" t="s">
        <v>33</v>
      </c>
      <c r="E164" s="4">
        <v>36536.26</v>
      </c>
      <c r="F164" s="5" t="s">
        <v>362</v>
      </c>
      <c r="G164" s="6">
        <v>1</v>
      </c>
      <c r="H164" t="s">
        <v>59</v>
      </c>
      <c r="I164" t="s">
        <v>30</v>
      </c>
    </row>
    <row r="165" spans="1:9" x14ac:dyDescent="0.3">
      <c r="A165" t="s">
        <v>363</v>
      </c>
      <c r="B165" t="s">
        <v>602</v>
      </c>
      <c r="C165" t="s">
        <v>17</v>
      </c>
      <c r="D165" t="s">
        <v>18</v>
      </c>
      <c r="E165" s="4">
        <v>61688.77</v>
      </c>
      <c r="F165" s="5" t="s">
        <v>364</v>
      </c>
      <c r="G165" s="6">
        <v>0.9</v>
      </c>
      <c r="H165" t="s">
        <v>13</v>
      </c>
      <c r="I165" t="s">
        <v>66</v>
      </c>
    </row>
    <row r="166" spans="1:9" x14ac:dyDescent="0.3">
      <c r="A166" t="s">
        <v>365</v>
      </c>
      <c r="B166" t="s">
        <v>366</v>
      </c>
      <c r="C166" t="s">
        <v>17</v>
      </c>
      <c r="D166" t="s">
        <v>93</v>
      </c>
      <c r="E166" s="4"/>
      <c r="F166" s="5" t="s">
        <v>367</v>
      </c>
      <c r="G166" s="6">
        <v>1</v>
      </c>
      <c r="H166" t="s">
        <v>13</v>
      </c>
      <c r="I166" t="s">
        <v>19</v>
      </c>
    </row>
    <row r="167" spans="1:9" x14ac:dyDescent="0.3">
      <c r="A167" t="s">
        <v>368</v>
      </c>
      <c r="B167" t="s">
        <v>603</v>
      </c>
      <c r="C167" t="s">
        <v>17</v>
      </c>
      <c r="D167" t="s">
        <v>33</v>
      </c>
      <c r="E167" s="4">
        <v>88425.08</v>
      </c>
      <c r="F167" s="5" t="s">
        <v>369</v>
      </c>
      <c r="G167" s="6">
        <v>1</v>
      </c>
      <c r="H167" t="s">
        <v>13</v>
      </c>
      <c r="I167" t="s">
        <v>30</v>
      </c>
    </row>
    <row r="168" spans="1:9" x14ac:dyDescent="0.3">
      <c r="A168" t="s">
        <v>158</v>
      </c>
      <c r="B168" t="s">
        <v>604</v>
      </c>
      <c r="C168" t="s">
        <v>17</v>
      </c>
      <c r="D168" t="s">
        <v>93</v>
      </c>
      <c r="E168" s="4">
        <v>38438.239999999998</v>
      </c>
      <c r="F168" s="5" t="s">
        <v>159</v>
      </c>
      <c r="G168" s="6">
        <v>1</v>
      </c>
      <c r="H168" t="s">
        <v>13</v>
      </c>
      <c r="I168" t="s">
        <v>66</v>
      </c>
    </row>
    <row r="169" spans="1:9" x14ac:dyDescent="0.3">
      <c r="A169" t="s">
        <v>370</v>
      </c>
      <c r="B169" t="s">
        <v>371</v>
      </c>
      <c r="C169" t="s">
        <v>11</v>
      </c>
      <c r="D169" t="s">
        <v>80</v>
      </c>
      <c r="E169" s="4">
        <v>96753.78</v>
      </c>
      <c r="F169" s="5">
        <v>44494</v>
      </c>
      <c r="G169" s="6">
        <v>1</v>
      </c>
      <c r="H169" t="s">
        <v>13</v>
      </c>
      <c r="I169" t="s">
        <v>60</v>
      </c>
    </row>
    <row r="170" spans="1:9" x14ac:dyDescent="0.3">
      <c r="A170" t="s">
        <v>256</v>
      </c>
      <c r="B170" t="s">
        <v>257</v>
      </c>
      <c r="C170" t="s">
        <v>11</v>
      </c>
      <c r="D170" t="s">
        <v>25</v>
      </c>
      <c r="E170" s="4">
        <v>112778.28</v>
      </c>
      <c r="F170" s="5">
        <v>43250</v>
      </c>
      <c r="G170" s="6">
        <v>1</v>
      </c>
      <c r="H170" t="s">
        <v>27</v>
      </c>
      <c r="I170" t="s">
        <v>14</v>
      </c>
    </row>
    <row r="171" spans="1:9" x14ac:dyDescent="0.3">
      <c r="A171" t="s">
        <v>372</v>
      </c>
      <c r="B171" t="s">
        <v>373</v>
      </c>
      <c r="C171" t="s">
        <v>17</v>
      </c>
      <c r="D171" t="s">
        <v>37</v>
      </c>
      <c r="E171" s="4">
        <v>28974.03</v>
      </c>
      <c r="F171" s="5" t="s">
        <v>374</v>
      </c>
      <c r="G171" s="6">
        <v>1</v>
      </c>
      <c r="H171" t="s">
        <v>13</v>
      </c>
      <c r="I171" t="s">
        <v>60</v>
      </c>
    </row>
    <row r="172" spans="1:9" x14ac:dyDescent="0.3">
      <c r="A172" t="s">
        <v>375</v>
      </c>
      <c r="B172" t="s">
        <v>605</v>
      </c>
      <c r="C172" t="s">
        <v>17</v>
      </c>
      <c r="D172" t="s">
        <v>18</v>
      </c>
      <c r="E172" s="4">
        <v>86233.83</v>
      </c>
      <c r="F172" s="5" t="s">
        <v>376</v>
      </c>
      <c r="G172" s="6">
        <v>1</v>
      </c>
      <c r="H172" t="s">
        <v>27</v>
      </c>
      <c r="I172" t="s">
        <v>66</v>
      </c>
    </row>
    <row r="173" spans="1:9" x14ac:dyDescent="0.3">
      <c r="A173" t="s">
        <v>184</v>
      </c>
      <c r="B173" t="s">
        <v>185</v>
      </c>
      <c r="C173" t="s">
        <v>17</v>
      </c>
      <c r="D173" t="s">
        <v>93</v>
      </c>
      <c r="E173" s="4">
        <v>66865.490000000005</v>
      </c>
      <c r="F173" s="5" t="s">
        <v>186</v>
      </c>
      <c r="G173" s="6">
        <v>1</v>
      </c>
      <c r="H173" t="s">
        <v>13</v>
      </c>
      <c r="I173" t="s">
        <v>19</v>
      </c>
    </row>
    <row r="174" spans="1:9" x14ac:dyDescent="0.3">
      <c r="A174" t="s">
        <v>377</v>
      </c>
      <c r="B174" t="s">
        <v>378</v>
      </c>
      <c r="C174" t="s">
        <v>11</v>
      </c>
      <c r="D174" t="s">
        <v>77</v>
      </c>
      <c r="E174" s="4">
        <v>119022.49</v>
      </c>
      <c r="F174" s="5">
        <v>44431</v>
      </c>
      <c r="G174" s="6">
        <v>1</v>
      </c>
      <c r="H174" t="s">
        <v>13</v>
      </c>
      <c r="I174" t="s">
        <v>60</v>
      </c>
    </row>
    <row r="175" spans="1:9" x14ac:dyDescent="0.3">
      <c r="A175" t="s">
        <v>379</v>
      </c>
      <c r="B175" t="s">
        <v>380</v>
      </c>
      <c r="C175" t="s">
        <v>17</v>
      </c>
      <c r="D175" t="s">
        <v>77</v>
      </c>
      <c r="E175" s="4">
        <v>114177.23</v>
      </c>
      <c r="F175" s="5" t="s">
        <v>381</v>
      </c>
      <c r="G175" s="6">
        <v>1</v>
      </c>
      <c r="H175" t="s">
        <v>13</v>
      </c>
      <c r="I175" t="s">
        <v>35</v>
      </c>
    </row>
    <row r="176" spans="1:9" x14ac:dyDescent="0.3">
      <c r="A176" t="s">
        <v>382</v>
      </c>
      <c r="B176" t="s">
        <v>383</v>
      </c>
      <c r="C176" t="s">
        <v>17</v>
      </c>
      <c r="D176" t="s">
        <v>74</v>
      </c>
      <c r="E176" s="4">
        <v>100731.95</v>
      </c>
      <c r="F176" s="5" t="s">
        <v>384</v>
      </c>
      <c r="G176" s="6">
        <v>1</v>
      </c>
      <c r="H176" t="s">
        <v>13</v>
      </c>
      <c r="I176" t="s">
        <v>60</v>
      </c>
    </row>
    <row r="177" spans="1:9" x14ac:dyDescent="0.3">
      <c r="A177" t="s">
        <v>385</v>
      </c>
      <c r="B177" t="s">
        <v>606</v>
      </c>
      <c r="C177" t="s">
        <v>17</v>
      </c>
      <c r="D177" t="s">
        <v>25</v>
      </c>
      <c r="E177" s="4">
        <v>86010.54</v>
      </c>
      <c r="F177" s="5">
        <v>43164</v>
      </c>
      <c r="G177" s="6">
        <v>1</v>
      </c>
      <c r="H177" t="s">
        <v>13</v>
      </c>
      <c r="I177" t="s">
        <v>66</v>
      </c>
    </row>
    <row r="178" spans="1:9" x14ac:dyDescent="0.3">
      <c r="A178" t="s">
        <v>386</v>
      </c>
      <c r="B178" t="s">
        <v>607</v>
      </c>
      <c r="C178" t="s">
        <v>11</v>
      </c>
      <c r="D178" t="s">
        <v>77</v>
      </c>
      <c r="E178" s="4">
        <v>52270.22</v>
      </c>
      <c r="F178" s="5">
        <v>43521</v>
      </c>
      <c r="G178" s="6">
        <v>0.3</v>
      </c>
      <c r="H178" t="s">
        <v>13</v>
      </c>
      <c r="I178" t="s">
        <v>66</v>
      </c>
    </row>
    <row r="179" spans="1:9" x14ac:dyDescent="0.3">
      <c r="A179" t="s">
        <v>387</v>
      </c>
      <c r="B179" t="s">
        <v>608</v>
      </c>
      <c r="C179" t="s">
        <v>11</v>
      </c>
      <c r="D179" t="s">
        <v>33</v>
      </c>
      <c r="E179" s="4">
        <v>61624.77</v>
      </c>
      <c r="F179" s="5">
        <v>43430</v>
      </c>
      <c r="G179" s="6">
        <v>0.3</v>
      </c>
      <c r="H179" t="s">
        <v>27</v>
      </c>
      <c r="I179" t="s">
        <v>30</v>
      </c>
    </row>
    <row r="180" spans="1:9" x14ac:dyDescent="0.3">
      <c r="A180" t="s">
        <v>388</v>
      </c>
      <c r="B180" t="s">
        <v>609</v>
      </c>
      <c r="C180" t="s">
        <v>17</v>
      </c>
      <c r="D180" t="s">
        <v>40</v>
      </c>
      <c r="E180" s="4">
        <v>104903.79</v>
      </c>
      <c r="F180" s="5" t="s">
        <v>389</v>
      </c>
      <c r="G180" s="6">
        <v>1</v>
      </c>
      <c r="H180" t="s">
        <v>13</v>
      </c>
      <c r="I180" t="s">
        <v>66</v>
      </c>
    </row>
    <row r="181" spans="1:9" x14ac:dyDescent="0.3">
      <c r="A181" t="s">
        <v>179</v>
      </c>
      <c r="B181" t="s">
        <v>180</v>
      </c>
      <c r="C181" t="s">
        <v>17</v>
      </c>
      <c r="D181" t="s">
        <v>22</v>
      </c>
      <c r="E181" s="4">
        <v>69057.320000000007</v>
      </c>
      <c r="F181" s="5">
        <v>43390</v>
      </c>
      <c r="G181" s="6">
        <v>1</v>
      </c>
      <c r="H181" t="s">
        <v>13</v>
      </c>
      <c r="I181" t="s">
        <v>35</v>
      </c>
    </row>
    <row r="182" spans="1:9" x14ac:dyDescent="0.3">
      <c r="A182" t="s">
        <v>254</v>
      </c>
      <c r="B182" t="s">
        <v>255</v>
      </c>
      <c r="C182" t="s">
        <v>11</v>
      </c>
      <c r="D182" t="s">
        <v>37</v>
      </c>
      <c r="E182" s="4">
        <v>59258.19</v>
      </c>
      <c r="F182" s="5">
        <v>43452</v>
      </c>
      <c r="G182" s="6">
        <v>0.8</v>
      </c>
      <c r="H182" t="s">
        <v>13</v>
      </c>
      <c r="I182" t="s">
        <v>19</v>
      </c>
    </row>
    <row r="183" spans="1:9" x14ac:dyDescent="0.3">
      <c r="A183" t="s">
        <v>390</v>
      </c>
      <c r="B183" t="s">
        <v>391</v>
      </c>
      <c r="C183" t="s">
        <v>11</v>
      </c>
      <c r="D183" t="s">
        <v>43</v>
      </c>
      <c r="E183" s="4">
        <v>28160.79</v>
      </c>
      <c r="F183" s="5" t="s">
        <v>392</v>
      </c>
      <c r="G183" s="6">
        <v>1</v>
      </c>
      <c r="H183" t="s">
        <v>59</v>
      </c>
      <c r="I183" t="s">
        <v>14</v>
      </c>
    </row>
    <row r="184" spans="1:9" x14ac:dyDescent="0.3">
      <c r="A184" t="s">
        <v>393</v>
      </c>
      <c r="B184" t="s">
        <v>394</v>
      </c>
      <c r="C184" t="s">
        <v>11</v>
      </c>
      <c r="D184" t="s">
        <v>636</v>
      </c>
      <c r="E184" s="4">
        <v>109143.17</v>
      </c>
      <c r="F184" s="5" t="s">
        <v>395</v>
      </c>
      <c r="G184" s="6">
        <v>1</v>
      </c>
      <c r="H184" t="s">
        <v>13</v>
      </c>
      <c r="I184" t="s">
        <v>35</v>
      </c>
    </row>
    <row r="185" spans="1:9" x14ac:dyDescent="0.3">
      <c r="A185" t="s">
        <v>396</v>
      </c>
      <c r="B185" t="s">
        <v>610</v>
      </c>
      <c r="C185" t="s">
        <v>17</v>
      </c>
      <c r="D185" t="s">
        <v>40</v>
      </c>
      <c r="E185" s="4">
        <v>70755.5</v>
      </c>
      <c r="F185" s="5" t="s">
        <v>397</v>
      </c>
      <c r="G185" s="6">
        <v>0.8</v>
      </c>
      <c r="H185" t="s">
        <v>59</v>
      </c>
      <c r="I185" t="s">
        <v>30</v>
      </c>
    </row>
    <row r="186" spans="1:9" x14ac:dyDescent="0.3">
      <c r="A186" t="s">
        <v>105</v>
      </c>
      <c r="B186" t="s">
        <v>106</v>
      </c>
      <c r="C186" t="s">
        <v>11</v>
      </c>
      <c r="D186" t="s">
        <v>18</v>
      </c>
      <c r="E186" s="4">
        <v>73360.38</v>
      </c>
      <c r="F186" s="5">
        <v>43972</v>
      </c>
      <c r="G186" s="6">
        <v>1</v>
      </c>
      <c r="H186" t="s">
        <v>59</v>
      </c>
      <c r="I186" t="s">
        <v>14</v>
      </c>
    </row>
    <row r="187" spans="1:9" x14ac:dyDescent="0.3">
      <c r="A187" t="s">
        <v>307</v>
      </c>
      <c r="B187" t="s">
        <v>611</v>
      </c>
      <c r="C187" t="s">
        <v>17</v>
      </c>
      <c r="D187" t="s">
        <v>77</v>
      </c>
      <c r="E187" s="4">
        <v>76303.820000000007</v>
      </c>
      <c r="F187" s="5">
        <v>43458</v>
      </c>
      <c r="G187" s="6">
        <v>1</v>
      </c>
      <c r="H187" t="s">
        <v>27</v>
      </c>
      <c r="I187" t="s">
        <v>30</v>
      </c>
    </row>
    <row r="188" spans="1:9" x14ac:dyDescent="0.3">
      <c r="A188" t="s">
        <v>398</v>
      </c>
      <c r="B188" t="s">
        <v>399</v>
      </c>
      <c r="C188" t="s">
        <v>17</v>
      </c>
      <c r="D188" t="s">
        <v>636</v>
      </c>
      <c r="E188" s="4">
        <v>58861.19</v>
      </c>
      <c r="F188" s="5" t="s">
        <v>400</v>
      </c>
      <c r="G188" s="6">
        <v>1</v>
      </c>
      <c r="H188" t="s">
        <v>13</v>
      </c>
      <c r="I188" t="s">
        <v>55</v>
      </c>
    </row>
    <row r="189" spans="1:9" x14ac:dyDescent="0.3">
      <c r="A189" t="s">
        <v>401</v>
      </c>
      <c r="B189" t="s">
        <v>402</v>
      </c>
      <c r="C189" t="s">
        <v>17</v>
      </c>
      <c r="D189" t="s">
        <v>25</v>
      </c>
      <c r="E189" s="4">
        <v>58744.17</v>
      </c>
      <c r="F189" s="5" t="s">
        <v>58</v>
      </c>
      <c r="G189" s="6">
        <v>1</v>
      </c>
      <c r="H189" t="s">
        <v>59</v>
      </c>
      <c r="I189" t="s">
        <v>55</v>
      </c>
    </row>
    <row r="190" spans="1:9" x14ac:dyDescent="0.3">
      <c r="A190" t="s">
        <v>403</v>
      </c>
      <c r="B190" t="s">
        <v>404</v>
      </c>
      <c r="C190" t="s">
        <v>17</v>
      </c>
      <c r="D190" t="s">
        <v>74</v>
      </c>
      <c r="E190" s="4">
        <v>73488.679999999993</v>
      </c>
      <c r="F190" s="5" t="s">
        <v>405</v>
      </c>
      <c r="G190" s="6">
        <v>1</v>
      </c>
      <c r="H190" t="s">
        <v>27</v>
      </c>
      <c r="I190" t="s">
        <v>19</v>
      </c>
    </row>
    <row r="191" spans="1:9" x14ac:dyDescent="0.3">
      <c r="A191" t="s">
        <v>406</v>
      </c>
      <c r="B191" t="s">
        <v>407</v>
      </c>
      <c r="C191" t="s">
        <v>17</v>
      </c>
      <c r="D191" t="s">
        <v>74</v>
      </c>
      <c r="E191" s="4">
        <v>92704.48</v>
      </c>
      <c r="F191" s="5" t="s">
        <v>408</v>
      </c>
      <c r="G191" s="6">
        <v>1</v>
      </c>
      <c r="H191" t="s">
        <v>27</v>
      </c>
      <c r="I191" t="s">
        <v>55</v>
      </c>
    </row>
    <row r="192" spans="1:9" x14ac:dyDescent="0.3">
      <c r="A192" t="s">
        <v>409</v>
      </c>
      <c r="B192" t="s">
        <v>612</v>
      </c>
      <c r="C192" t="s">
        <v>11</v>
      </c>
      <c r="D192" t="s">
        <v>33</v>
      </c>
      <c r="E192" s="4">
        <v>78443.78</v>
      </c>
      <c r="F192" s="5" t="s">
        <v>410</v>
      </c>
      <c r="G192" s="6">
        <v>1</v>
      </c>
      <c r="H192" t="s">
        <v>27</v>
      </c>
      <c r="I192" t="s">
        <v>30</v>
      </c>
    </row>
    <row r="193" spans="1:9" x14ac:dyDescent="0.3">
      <c r="A193" t="s">
        <v>411</v>
      </c>
      <c r="B193" t="s">
        <v>412</v>
      </c>
      <c r="C193" t="s">
        <v>17</v>
      </c>
      <c r="D193" t="s">
        <v>33</v>
      </c>
      <c r="E193" s="4">
        <v>97105.19</v>
      </c>
      <c r="F193" s="5">
        <v>44425</v>
      </c>
      <c r="G193" s="6">
        <v>1</v>
      </c>
      <c r="H193" t="s">
        <v>13</v>
      </c>
      <c r="I193" t="s">
        <v>55</v>
      </c>
    </row>
    <row r="194" spans="1:9" x14ac:dyDescent="0.3">
      <c r="A194" t="s">
        <v>413</v>
      </c>
      <c r="B194" t="s">
        <v>414</v>
      </c>
      <c r="C194" t="s">
        <v>17</v>
      </c>
      <c r="D194" t="s">
        <v>22</v>
      </c>
      <c r="E194" s="4">
        <v>109163.39</v>
      </c>
      <c r="F194" s="5">
        <v>44019</v>
      </c>
      <c r="G194" s="6">
        <v>0.8</v>
      </c>
      <c r="H194" t="s">
        <v>13</v>
      </c>
      <c r="I194" t="s">
        <v>19</v>
      </c>
    </row>
    <row r="195" spans="1:9" x14ac:dyDescent="0.3">
      <c r="A195" t="s">
        <v>415</v>
      </c>
      <c r="B195" t="s">
        <v>416</v>
      </c>
      <c r="C195" t="s">
        <v>11</v>
      </c>
      <c r="D195" t="s">
        <v>40</v>
      </c>
      <c r="E195" s="4">
        <v>31816.57</v>
      </c>
      <c r="F195" s="5" t="s">
        <v>417</v>
      </c>
      <c r="G195" s="6">
        <v>0.3</v>
      </c>
      <c r="H195" t="s">
        <v>27</v>
      </c>
      <c r="I195" t="s">
        <v>14</v>
      </c>
    </row>
    <row r="196" spans="1:9" x14ac:dyDescent="0.3">
      <c r="A196" t="s">
        <v>418</v>
      </c>
      <c r="B196" t="s">
        <v>419</v>
      </c>
      <c r="C196" t="s">
        <v>17</v>
      </c>
      <c r="D196" t="s">
        <v>636</v>
      </c>
      <c r="E196" s="4">
        <v>118442.54</v>
      </c>
      <c r="F196" s="5">
        <v>44193</v>
      </c>
      <c r="G196" s="6">
        <v>1</v>
      </c>
      <c r="H196" t="s">
        <v>13</v>
      </c>
      <c r="I196" t="s">
        <v>60</v>
      </c>
    </row>
    <row r="197" spans="1:9" x14ac:dyDescent="0.3">
      <c r="A197" t="s">
        <v>420</v>
      </c>
      <c r="B197" t="s">
        <v>421</v>
      </c>
      <c r="C197" t="s">
        <v>17</v>
      </c>
      <c r="D197" t="s">
        <v>25</v>
      </c>
      <c r="E197" s="4">
        <v>84745.93</v>
      </c>
      <c r="F197" s="5" t="s">
        <v>422</v>
      </c>
      <c r="G197" s="6">
        <v>1</v>
      </c>
      <c r="H197" t="s">
        <v>13</v>
      </c>
      <c r="I197" t="s">
        <v>35</v>
      </c>
    </row>
    <row r="198" spans="1:9" x14ac:dyDescent="0.3">
      <c r="A198" t="s">
        <v>122</v>
      </c>
      <c r="B198" t="s">
        <v>123</v>
      </c>
      <c r="C198" t="s">
        <v>17</v>
      </c>
      <c r="D198" t="s">
        <v>77</v>
      </c>
      <c r="E198" s="4">
        <v>69163.39</v>
      </c>
      <c r="F198" s="5">
        <v>43397</v>
      </c>
      <c r="G198" s="6">
        <v>1</v>
      </c>
      <c r="H198" t="s">
        <v>13</v>
      </c>
      <c r="I198" t="s">
        <v>14</v>
      </c>
    </row>
    <row r="199" spans="1:9" x14ac:dyDescent="0.3">
      <c r="A199" t="s">
        <v>358</v>
      </c>
      <c r="B199" t="s">
        <v>359</v>
      </c>
      <c r="C199" t="s">
        <v>17</v>
      </c>
      <c r="D199" t="s">
        <v>80</v>
      </c>
      <c r="E199" s="4">
        <v>84598.88</v>
      </c>
      <c r="F199" s="5" t="s">
        <v>360</v>
      </c>
      <c r="G199" s="6">
        <v>1</v>
      </c>
      <c r="H199" t="s">
        <v>27</v>
      </c>
      <c r="I199" t="s">
        <v>19</v>
      </c>
    </row>
    <row r="200" spans="1:9" x14ac:dyDescent="0.3">
      <c r="A200" t="s">
        <v>423</v>
      </c>
      <c r="B200" t="s">
        <v>424</v>
      </c>
      <c r="C200" t="s">
        <v>17</v>
      </c>
      <c r="D200" t="s">
        <v>93</v>
      </c>
      <c r="E200" s="4">
        <v>68795.48</v>
      </c>
      <c r="F200" s="5">
        <v>44277</v>
      </c>
      <c r="G200" s="6">
        <v>0.2</v>
      </c>
      <c r="H200" t="s">
        <v>13</v>
      </c>
      <c r="I200" t="s">
        <v>14</v>
      </c>
    </row>
    <row r="201" spans="1:9" x14ac:dyDescent="0.3">
      <c r="A201" t="s">
        <v>425</v>
      </c>
      <c r="B201" t="s">
        <v>426</v>
      </c>
      <c r="C201" t="s">
        <v>17</v>
      </c>
      <c r="D201" t="s">
        <v>22</v>
      </c>
      <c r="E201" s="4">
        <v>32269.91</v>
      </c>
      <c r="F201" s="5" t="s">
        <v>364</v>
      </c>
      <c r="G201" s="6">
        <v>1</v>
      </c>
      <c r="H201" t="s">
        <v>13</v>
      </c>
      <c r="I201" t="s">
        <v>14</v>
      </c>
    </row>
    <row r="202" spans="1:9" x14ac:dyDescent="0.3">
      <c r="A202" t="s">
        <v>427</v>
      </c>
      <c r="B202" t="s">
        <v>428</v>
      </c>
      <c r="C202" t="s">
        <v>11</v>
      </c>
      <c r="D202" t="s">
        <v>43</v>
      </c>
      <c r="E202" s="4">
        <v>78705.929999999993</v>
      </c>
      <c r="F202" s="5" t="s">
        <v>429</v>
      </c>
      <c r="G202" s="6">
        <v>1</v>
      </c>
      <c r="H202" t="s">
        <v>27</v>
      </c>
      <c r="I202" t="s">
        <v>19</v>
      </c>
    </row>
    <row r="203" spans="1:9" x14ac:dyDescent="0.3">
      <c r="A203" t="s">
        <v>430</v>
      </c>
      <c r="B203" t="s">
        <v>431</v>
      </c>
      <c r="C203" t="s">
        <v>11</v>
      </c>
      <c r="D203" t="s">
        <v>40</v>
      </c>
      <c r="E203" s="4">
        <v>53535.62</v>
      </c>
      <c r="F203" s="5" t="s">
        <v>432</v>
      </c>
      <c r="G203" s="6">
        <v>0.5</v>
      </c>
      <c r="H203" t="s">
        <v>27</v>
      </c>
      <c r="I203" t="s">
        <v>19</v>
      </c>
    </row>
    <row r="204" spans="1:9" x14ac:dyDescent="0.3">
      <c r="A204" t="s">
        <v>433</v>
      </c>
      <c r="B204" t="s">
        <v>434</v>
      </c>
      <c r="C204" t="s">
        <v>17</v>
      </c>
      <c r="D204" t="s">
        <v>80</v>
      </c>
      <c r="E204" s="4">
        <v>41934.71</v>
      </c>
      <c r="F204" s="5">
        <v>43780</v>
      </c>
      <c r="G204" s="6">
        <v>1</v>
      </c>
      <c r="H204" t="s">
        <v>13</v>
      </c>
      <c r="I204" t="s">
        <v>14</v>
      </c>
    </row>
    <row r="205" spans="1:9" x14ac:dyDescent="0.3">
      <c r="A205" t="s">
        <v>435</v>
      </c>
      <c r="B205" t="s">
        <v>436</v>
      </c>
      <c r="C205" t="s">
        <v>17</v>
      </c>
      <c r="D205" t="s">
        <v>93</v>
      </c>
      <c r="E205" s="4">
        <v>91929.69</v>
      </c>
      <c r="F205" s="5">
        <v>44085</v>
      </c>
      <c r="G205" s="6">
        <v>1</v>
      </c>
      <c r="H205" t="s">
        <v>27</v>
      </c>
      <c r="I205" t="s">
        <v>14</v>
      </c>
    </row>
    <row r="206" spans="1:9" x14ac:dyDescent="0.3">
      <c r="A206" t="s">
        <v>437</v>
      </c>
      <c r="B206" t="s">
        <v>438</v>
      </c>
      <c r="C206" t="s">
        <v>11</v>
      </c>
      <c r="D206" t="s">
        <v>43</v>
      </c>
      <c r="E206" s="4">
        <v>62281.24</v>
      </c>
      <c r="F206" s="5">
        <v>43272</v>
      </c>
      <c r="G206" s="6">
        <v>1</v>
      </c>
      <c r="H206" t="s">
        <v>13</v>
      </c>
      <c r="I206" t="s">
        <v>14</v>
      </c>
    </row>
    <row r="207" spans="1:9" x14ac:dyDescent="0.3">
      <c r="A207" t="s">
        <v>439</v>
      </c>
      <c r="B207" t="s">
        <v>440</v>
      </c>
      <c r="C207" t="s">
        <v>11</v>
      </c>
      <c r="D207" t="s">
        <v>77</v>
      </c>
      <c r="E207" s="4">
        <v>57925.91</v>
      </c>
      <c r="F207" s="5" t="s">
        <v>441</v>
      </c>
      <c r="G207" s="6">
        <v>0.5</v>
      </c>
      <c r="H207" t="s">
        <v>13</v>
      </c>
      <c r="I207" t="s">
        <v>35</v>
      </c>
    </row>
    <row r="208" spans="1:9" x14ac:dyDescent="0.3">
      <c r="A208" t="s">
        <v>442</v>
      </c>
      <c r="B208" t="s">
        <v>443</v>
      </c>
      <c r="C208" t="s">
        <v>11</v>
      </c>
      <c r="D208" t="s">
        <v>33</v>
      </c>
      <c r="E208" s="4">
        <v>82239.53</v>
      </c>
      <c r="F208" s="5">
        <v>43846</v>
      </c>
      <c r="G208" s="6">
        <v>1</v>
      </c>
      <c r="H208" t="s">
        <v>59</v>
      </c>
      <c r="I208" t="s">
        <v>55</v>
      </c>
    </row>
    <row r="209" spans="1:9" x14ac:dyDescent="0.3">
      <c r="A209" t="s">
        <v>444</v>
      </c>
      <c r="B209" t="s">
        <v>445</v>
      </c>
      <c r="C209" t="s">
        <v>11</v>
      </c>
      <c r="D209" t="s">
        <v>33</v>
      </c>
      <c r="E209" s="4">
        <v>53184.02</v>
      </c>
      <c r="F209" s="5" t="s">
        <v>446</v>
      </c>
      <c r="G209" s="6">
        <v>1</v>
      </c>
      <c r="H209" t="s">
        <v>27</v>
      </c>
      <c r="I209" t="s">
        <v>14</v>
      </c>
    </row>
    <row r="210" spans="1:9" x14ac:dyDescent="0.3">
      <c r="A210" t="s">
        <v>447</v>
      </c>
      <c r="B210" t="s">
        <v>613</v>
      </c>
      <c r="C210" t="s">
        <v>11</v>
      </c>
      <c r="D210" t="s">
        <v>77</v>
      </c>
      <c r="E210" s="4">
        <v>35936.31</v>
      </c>
      <c r="F210" s="5">
        <v>43241</v>
      </c>
      <c r="G210" s="6">
        <v>1</v>
      </c>
      <c r="H210" t="s">
        <v>13</v>
      </c>
      <c r="I210" t="s">
        <v>66</v>
      </c>
    </row>
    <row r="211" spans="1:9" x14ac:dyDescent="0.3">
      <c r="A211" t="s">
        <v>448</v>
      </c>
      <c r="B211" t="s">
        <v>449</v>
      </c>
      <c r="C211" t="s">
        <v>17</v>
      </c>
      <c r="D211" t="s">
        <v>22</v>
      </c>
      <c r="E211" s="4">
        <v>28305.08</v>
      </c>
      <c r="F211" s="5">
        <v>43754</v>
      </c>
      <c r="G211" s="6">
        <v>1</v>
      </c>
      <c r="H211" t="s">
        <v>13</v>
      </c>
      <c r="I211" t="s">
        <v>14</v>
      </c>
    </row>
    <row r="212" spans="1:9" x14ac:dyDescent="0.3">
      <c r="A212" t="s">
        <v>450</v>
      </c>
      <c r="B212" t="s">
        <v>451</v>
      </c>
      <c r="C212" t="s">
        <v>11</v>
      </c>
      <c r="D212" t="s">
        <v>99</v>
      </c>
      <c r="E212" s="4">
        <v>29774.76</v>
      </c>
      <c r="F212" s="5" t="s">
        <v>452</v>
      </c>
      <c r="G212" s="6">
        <v>1</v>
      </c>
      <c r="H212" t="s">
        <v>13</v>
      </c>
      <c r="I212" t="s">
        <v>35</v>
      </c>
    </row>
    <row r="213" spans="1:9" x14ac:dyDescent="0.3">
      <c r="A213" t="s">
        <v>453</v>
      </c>
      <c r="B213" t="s">
        <v>614</v>
      </c>
      <c r="C213" t="s">
        <v>11</v>
      </c>
      <c r="D213" t="s">
        <v>77</v>
      </c>
      <c r="E213" s="4">
        <v>102515.81</v>
      </c>
      <c r="F213" s="5">
        <v>43902</v>
      </c>
      <c r="G213" s="6">
        <v>1</v>
      </c>
      <c r="H213" t="s">
        <v>27</v>
      </c>
      <c r="I213" t="s">
        <v>66</v>
      </c>
    </row>
    <row r="214" spans="1:9" x14ac:dyDescent="0.3">
      <c r="A214" t="s">
        <v>181</v>
      </c>
      <c r="B214" t="s">
        <v>182</v>
      </c>
      <c r="D214" t="s">
        <v>74</v>
      </c>
      <c r="E214" s="4">
        <v>99448.78</v>
      </c>
      <c r="F214" s="5" t="s">
        <v>183</v>
      </c>
      <c r="G214" s="6">
        <v>1</v>
      </c>
      <c r="H214" t="s">
        <v>27</v>
      </c>
      <c r="I214" t="s">
        <v>35</v>
      </c>
    </row>
    <row r="215" spans="1:9" x14ac:dyDescent="0.3">
      <c r="A215" t="s">
        <v>423</v>
      </c>
      <c r="B215" t="s">
        <v>424</v>
      </c>
      <c r="C215" t="s">
        <v>17</v>
      </c>
      <c r="D215" t="s">
        <v>93</v>
      </c>
      <c r="E215" s="4">
        <v>68795.48</v>
      </c>
      <c r="F215" s="5">
        <v>44277</v>
      </c>
      <c r="G215" s="6">
        <v>0.2</v>
      </c>
      <c r="H215" t="s">
        <v>13</v>
      </c>
      <c r="I215" t="s">
        <v>14</v>
      </c>
    </row>
    <row r="216" spans="1:9" x14ac:dyDescent="0.3">
      <c r="A216" t="s">
        <v>235</v>
      </c>
      <c r="B216" t="s">
        <v>236</v>
      </c>
      <c r="C216" t="s">
        <v>17</v>
      </c>
      <c r="D216" t="s">
        <v>43</v>
      </c>
      <c r="E216" s="4">
        <v>99683.67</v>
      </c>
      <c r="F216" s="5" t="s">
        <v>237</v>
      </c>
      <c r="G216" s="6">
        <v>1</v>
      </c>
      <c r="H216" t="s">
        <v>27</v>
      </c>
      <c r="I216" t="s">
        <v>19</v>
      </c>
    </row>
    <row r="217" spans="1:9" x14ac:dyDescent="0.3">
      <c r="A217" t="s">
        <v>454</v>
      </c>
      <c r="B217" t="s">
        <v>455</v>
      </c>
      <c r="C217" t="s">
        <v>11</v>
      </c>
      <c r="D217" t="s">
        <v>77</v>
      </c>
      <c r="E217" s="4">
        <v>38825.18</v>
      </c>
      <c r="F217" s="5">
        <v>43696</v>
      </c>
      <c r="G217" s="6">
        <v>1</v>
      </c>
      <c r="H217" t="s">
        <v>59</v>
      </c>
      <c r="I217" t="s">
        <v>14</v>
      </c>
    </row>
    <row r="218" spans="1:9" x14ac:dyDescent="0.3">
      <c r="A218" t="s">
        <v>456</v>
      </c>
      <c r="B218" t="s">
        <v>615</v>
      </c>
      <c r="C218" t="s">
        <v>17</v>
      </c>
      <c r="D218" t="s">
        <v>22</v>
      </c>
      <c r="E218" s="4">
        <v>71229.42</v>
      </c>
      <c r="F218" s="5">
        <v>44166</v>
      </c>
      <c r="G218" s="6">
        <v>1</v>
      </c>
      <c r="H218" t="s">
        <v>13</v>
      </c>
      <c r="I218" t="s">
        <v>30</v>
      </c>
    </row>
    <row r="219" spans="1:9" x14ac:dyDescent="0.3">
      <c r="A219" t="s">
        <v>457</v>
      </c>
      <c r="B219" t="s">
        <v>219</v>
      </c>
      <c r="C219" t="s">
        <v>17</v>
      </c>
      <c r="D219" t="s">
        <v>18</v>
      </c>
      <c r="E219" s="4">
        <v>80695.740000000005</v>
      </c>
      <c r="F219" s="5">
        <v>43360</v>
      </c>
      <c r="G219" s="6">
        <v>1</v>
      </c>
      <c r="H219" t="s">
        <v>13</v>
      </c>
      <c r="I219" t="s">
        <v>55</v>
      </c>
    </row>
    <row r="220" spans="1:9" x14ac:dyDescent="0.3">
      <c r="A220" t="s">
        <v>458</v>
      </c>
      <c r="B220" t="s">
        <v>459</v>
      </c>
      <c r="C220" t="s">
        <v>17</v>
      </c>
      <c r="D220" t="s">
        <v>93</v>
      </c>
      <c r="E220" s="4">
        <v>72502.61</v>
      </c>
      <c r="F220" s="5">
        <v>44235</v>
      </c>
      <c r="G220" s="6">
        <v>1</v>
      </c>
      <c r="H220" t="s">
        <v>13</v>
      </c>
      <c r="I220" t="s">
        <v>35</v>
      </c>
    </row>
    <row r="221" spans="1:9" x14ac:dyDescent="0.3">
      <c r="A221" t="s">
        <v>460</v>
      </c>
      <c r="B221" t="s">
        <v>461</v>
      </c>
      <c r="C221" t="s">
        <v>17</v>
      </c>
      <c r="D221" t="s">
        <v>93</v>
      </c>
      <c r="E221" s="4">
        <v>68197.899999999994</v>
      </c>
      <c r="F221" s="5">
        <v>44119</v>
      </c>
      <c r="G221" s="6">
        <v>1</v>
      </c>
      <c r="H221" t="s">
        <v>13</v>
      </c>
      <c r="I221" t="s">
        <v>60</v>
      </c>
    </row>
    <row r="222" spans="1:9" x14ac:dyDescent="0.3">
      <c r="A222" t="s">
        <v>462</v>
      </c>
      <c r="B222" t="s">
        <v>463</v>
      </c>
      <c r="C222" t="s">
        <v>17</v>
      </c>
      <c r="D222" t="s">
        <v>77</v>
      </c>
      <c r="E222" s="4"/>
      <c r="F222" s="5" t="s">
        <v>464</v>
      </c>
      <c r="G222" s="6">
        <v>1</v>
      </c>
      <c r="H222" t="s">
        <v>27</v>
      </c>
      <c r="I222" t="s">
        <v>55</v>
      </c>
    </row>
    <row r="223" spans="1:9" x14ac:dyDescent="0.3">
      <c r="A223" t="s">
        <v>465</v>
      </c>
      <c r="B223" t="s">
        <v>466</v>
      </c>
      <c r="C223" t="s">
        <v>11</v>
      </c>
      <c r="D223" t="s">
        <v>93</v>
      </c>
      <c r="E223" s="4">
        <v>89960.6</v>
      </c>
      <c r="F223" s="5">
        <v>43515</v>
      </c>
      <c r="G223" s="6">
        <v>1</v>
      </c>
      <c r="H223" t="s">
        <v>27</v>
      </c>
      <c r="I223" t="s">
        <v>60</v>
      </c>
    </row>
    <row r="224" spans="1:9" x14ac:dyDescent="0.3">
      <c r="A224" t="s">
        <v>467</v>
      </c>
      <c r="B224" t="s">
        <v>468</v>
      </c>
      <c r="C224" t="s">
        <v>11</v>
      </c>
      <c r="D224" t="s">
        <v>33</v>
      </c>
      <c r="E224" s="4"/>
      <c r="F224" s="5">
        <v>44207</v>
      </c>
      <c r="G224" s="6">
        <v>0.7</v>
      </c>
      <c r="H224" t="s">
        <v>13</v>
      </c>
      <c r="I224" t="s">
        <v>19</v>
      </c>
    </row>
    <row r="225" spans="1:9" x14ac:dyDescent="0.3">
      <c r="A225" t="s">
        <v>351</v>
      </c>
      <c r="B225" t="s">
        <v>616</v>
      </c>
      <c r="C225" t="s">
        <v>11</v>
      </c>
      <c r="D225" t="s">
        <v>99</v>
      </c>
      <c r="E225" s="4">
        <v>28481.16</v>
      </c>
      <c r="F225" s="5">
        <v>43916</v>
      </c>
      <c r="G225" s="6">
        <v>1</v>
      </c>
      <c r="H225" t="s">
        <v>13</v>
      </c>
      <c r="I225" t="s">
        <v>30</v>
      </c>
    </row>
    <row r="226" spans="1:9" x14ac:dyDescent="0.3">
      <c r="A226" t="s">
        <v>154</v>
      </c>
      <c r="B226" t="s">
        <v>617</v>
      </c>
      <c r="C226" t="s">
        <v>17</v>
      </c>
      <c r="D226" t="s">
        <v>25</v>
      </c>
      <c r="E226" s="4">
        <v>116767.63</v>
      </c>
      <c r="F226" s="5">
        <v>43949</v>
      </c>
      <c r="G226" s="6">
        <v>0.4</v>
      </c>
      <c r="H226" t="s">
        <v>59</v>
      </c>
      <c r="I226" t="s">
        <v>66</v>
      </c>
    </row>
    <row r="227" spans="1:9" x14ac:dyDescent="0.3">
      <c r="A227" t="s">
        <v>469</v>
      </c>
      <c r="B227" t="s">
        <v>470</v>
      </c>
      <c r="C227" t="s">
        <v>11</v>
      </c>
      <c r="D227" t="s">
        <v>93</v>
      </c>
      <c r="E227" s="4">
        <v>80360.41</v>
      </c>
      <c r="F227" s="5" t="s">
        <v>471</v>
      </c>
      <c r="G227" s="6">
        <v>1</v>
      </c>
      <c r="H227" t="s">
        <v>13</v>
      </c>
      <c r="I227" t="s">
        <v>14</v>
      </c>
    </row>
    <row r="228" spans="1:9" x14ac:dyDescent="0.3">
      <c r="A228" t="s">
        <v>472</v>
      </c>
      <c r="B228" t="s">
        <v>473</v>
      </c>
      <c r="C228" t="s">
        <v>17</v>
      </c>
      <c r="D228" t="s">
        <v>80</v>
      </c>
      <c r="E228" s="4">
        <v>77045.440000000002</v>
      </c>
      <c r="F228" s="5" t="s">
        <v>474</v>
      </c>
      <c r="G228" s="6">
        <v>1</v>
      </c>
      <c r="H228" t="s">
        <v>13</v>
      </c>
      <c r="I228" t="s">
        <v>14</v>
      </c>
    </row>
    <row r="229" spans="1:9" x14ac:dyDescent="0.3">
      <c r="A229" t="s">
        <v>475</v>
      </c>
      <c r="B229" t="s">
        <v>476</v>
      </c>
      <c r="C229" t="s">
        <v>17</v>
      </c>
      <c r="D229" t="s">
        <v>25</v>
      </c>
      <c r="E229" s="4">
        <v>96135.75</v>
      </c>
      <c r="F229" s="5" t="s">
        <v>477</v>
      </c>
      <c r="G229" s="6">
        <v>0.3</v>
      </c>
      <c r="H229" t="s">
        <v>13</v>
      </c>
      <c r="I229" t="s">
        <v>35</v>
      </c>
    </row>
    <row r="230" spans="1:9" x14ac:dyDescent="0.3">
      <c r="A230" t="s">
        <v>478</v>
      </c>
      <c r="B230" t="s">
        <v>479</v>
      </c>
      <c r="C230" t="s">
        <v>17</v>
      </c>
      <c r="D230" t="s">
        <v>80</v>
      </c>
      <c r="E230" s="4">
        <v>102129.37</v>
      </c>
      <c r="F230" s="5" t="s">
        <v>306</v>
      </c>
      <c r="G230" s="6">
        <v>1</v>
      </c>
      <c r="H230" t="s">
        <v>13</v>
      </c>
      <c r="I230" t="s">
        <v>55</v>
      </c>
    </row>
    <row r="231" spans="1:9" x14ac:dyDescent="0.3">
      <c r="A231" t="s">
        <v>480</v>
      </c>
      <c r="B231" t="s">
        <v>481</v>
      </c>
      <c r="C231" t="s">
        <v>17</v>
      </c>
      <c r="D231" t="s">
        <v>25</v>
      </c>
      <c r="E231" s="4">
        <v>99965.97</v>
      </c>
      <c r="F231" s="5" t="s">
        <v>482</v>
      </c>
      <c r="G231" s="6">
        <v>1</v>
      </c>
      <c r="H231" t="s">
        <v>13</v>
      </c>
      <c r="I231" t="s">
        <v>14</v>
      </c>
    </row>
    <row r="232" spans="1:9" x14ac:dyDescent="0.3">
      <c r="A232" t="s">
        <v>483</v>
      </c>
      <c r="B232" t="s">
        <v>484</v>
      </c>
      <c r="C232" t="s">
        <v>17</v>
      </c>
      <c r="D232" t="s">
        <v>93</v>
      </c>
      <c r="E232" s="4">
        <v>49625.64</v>
      </c>
      <c r="F232" s="5">
        <v>44384</v>
      </c>
      <c r="G232" s="6">
        <v>0.5</v>
      </c>
      <c r="H232" t="s">
        <v>27</v>
      </c>
      <c r="I232" t="s">
        <v>14</v>
      </c>
    </row>
    <row r="233" spans="1:9" x14ac:dyDescent="0.3">
      <c r="A233" t="s">
        <v>485</v>
      </c>
      <c r="B233" t="s">
        <v>486</v>
      </c>
      <c r="C233" t="s">
        <v>17</v>
      </c>
      <c r="D233" t="s">
        <v>33</v>
      </c>
      <c r="E233" s="4">
        <v>94815.28</v>
      </c>
      <c r="F233" s="5" t="s">
        <v>487</v>
      </c>
      <c r="G233" s="6">
        <v>1</v>
      </c>
      <c r="H233" t="s">
        <v>13</v>
      </c>
      <c r="I233" t="s">
        <v>19</v>
      </c>
    </row>
    <row r="234" spans="1:9" x14ac:dyDescent="0.3">
      <c r="A234" t="s">
        <v>488</v>
      </c>
      <c r="B234" t="s">
        <v>618</v>
      </c>
      <c r="C234" t="s">
        <v>11</v>
      </c>
      <c r="D234" t="s">
        <v>37</v>
      </c>
      <c r="E234" s="4">
        <v>36714.379999999997</v>
      </c>
      <c r="F234" s="5">
        <v>44175</v>
      </c>
      <c r="G234" s="6">
        <v>1</v>
      </c>
      <c r="H234" t="s">
        <v>13</v>
      </c>
      <c r="I234" t="s">
        <v>66</v>
      </c>
    </row>
    <row r="235" spans="1:9" x14ac:dyDescent="0.3">
      <c r="A235" t="s">
        <v>489</v>
      </c>
      <c r="B235" t="s">
        <v>490</v>
      </c>
      <c r="C235" t="s">
        <v>17</v>
      </c>
      <c r="D235" t="s">
        <v>40</v>
      </c>
      <c r="E235" s="4">
        <v>67905.8</v>
      </c>
      <c r="F235" s="5">
        <v>44194</v>
      </c>
      <c r="G235" s="6">
        <v>1</v>
      </c>
      <c r="H235" t="s">
        <v>13</v>
      </c>
      <c r="I235" t="s">
        <v>14</v>
      </c>
    </row>
    <row r="236" spans="1:9" x14ac:dyDescent="0.3">
      <c r="A236" t="s">
        <v>491</v>
      </c>
      <c r="B236" t="s">
        <v>492</v>
      </c>
      <c r="C236" t="s">
        <v>11</v>
      </c>
      <c r="D236" t="s">
        <v>74</v>
      </c>
      <c r="E236" s="4">
        <v>69862.38</v>
      </c>
      <c r="F236" s="5" t="s">
        <v>493</v>
      </c>
      <c r="G236" s="6">
        <v>1</v>
      </c>
      <c r="H236" t="s">
        <v>13</v>
      </c>
      <c r="I236" t="s">
        <v>35</v>
      </c>
    </row>
    <row r="237" spans="1:9" x14ac:dyDescent="0.3">
      <c r="A237" t="s">
        <v>302</v>
      </c>
      <c r="B237" t="s">
        <v>303</v>
      </c>
      <c r="C237" t="s">
        <v>11</v>
      </c>
      <c r="D237" t="s">
        <v>77</v>
      </c>
      <c r="E237" s="4">
        <v>36547.58</v>
      </c>
      <c r="F237" s="5">
        <v>43416</v>
      </c>
      <c r="G237" s="6">
        <v>1</v>
      </c>
      <c r="H237" t="s">
        <v>13</v>
      </c>
      <c r="I237" t="s">
        <v>14</v>
      </c>
    </row>
    <row r="238" spans="1:9" x14ac:dyDescent="0.3">
      <c r="A238" t="s">
        <v>494</v>
      </c>
      <c r="B238" t="s">
        <v>619</v>
      </c>
      <c r="C238" t="s">
        <v>11</v>
      </c>
      <c r="D238" t="s">
        <v>18</v>
      </c>
      <c r="E238" s="4">
        <v>106400.02</v>
      </c>
      <c r="F238" s="5" t="s">
        <v>495</v>
      </c>
      <c r="G238" s="6">
        <v>1</v>
      </c>
      <c r="H238" t="s">
        <v>59</v>
      </c>
      <c r="I238" t="s">
        <v>66</v>
      </c>
    </row>
    <row r="239" spans="1:9" x14ac:dyDescent="0.3">
      <c r="A239" t="s">
        <v>496</v>
      </c>
      <c r="B239" t="s">
        <v>497</v>
      </c>
      <c r="C239" t="s">
        <v>11</v>
      </c>
      <c r="D239" t="s">
        <v>74</v>
      </c>
      <c r="E239" s="4">
        <v>103494.94</v>
      </c>
      <c r="F239" s="5" t="s">
        <v>498</v>
      </c>
      <c r="G239" s="6">
        <v>1</v>
      </c>
      <c r="H239" t="s">
        <v>13</v>
      </c>
      <c r="I239" t="s">
        <v>14</v>
      </c>
    </row>
    <row r="240" spans="1:9" x14ac:dyDescent="0.3">
      <c r="A240" t="s">
        <v>370</v>
      </c>
      <c r="B240" t="s">
        <v>371</v>
      </c>
      <c r="C240" t="s">
        <v>11</v>
      </c>
      <c r="D240" t="s">
        <v>80</v>
      </c>
      <c r="E240" s="4">
        <v>96753.78</v>
      </c>
      <c r="F240" s="5">
        <v>44494</v>
      </c>
      <c r="G240" s="6">
        <v>1</v>
      </c>
      <c r="H240" t="s">
        <v>13</v>
      </c>
      <c r="I240" t="s">
        <v>60</v>
      </c>
    </row>
    <row r="241" spans="1:9" x14ac:dyDescent="0.3">
      <c r="A241" t="s">
        <v>457</v>
      </c>
      <c r="B241" t="s">
        <v>219</v>
      </c>
      <c r="C241" t="s">
        <v>17</v>
      </c>
      <c r="D241" t="s">
        <v>18</v>
      </c>
      <c r="E241" s="4">
        <v>80695.740000000005</v>
      </c>
      <c r="F241" s="5">
        <v>43360</v>
      </c>
      <c r="G241" s="6">
        <v>1</v>
      </c>
      <c r="H241" t="s">
        <v>13</v>
      </c>
      <c r="I241" t="s">
        <v>55</v>
      </c>
    </row>
    <row r="242" spans="1:9" x14ac:dyDescent="0.3">
      <c r="A242" t="s">
        <v>499</v>
      </c>
      <c r="B242" t="s">
        <v>620</v>
      </c>
      <c r="C242" t="s">
        <v>17</v>
      </c>
      <c r="D242" t="s">
        <v>99</v>
      </c>
      <c r="E242" s="4">
        <v>61213.01</v>
      </c>
      <c r="F242" s="5" t="s">
        <v>500</v>
      </c>
      <c r="G242" s="6">
        <v>1</v>
      </c>
      <c r="H242" t="s">
        <v>13</v>
      </c>
      <c r="I242" t="s">
        <v>66</v>
      </c>
    </row>
    <row r="243" spans="1:9" x14ac:dyDescent="0.3">
      <c r="A243" t="s">
        <v>501</v>
      </c>
      <c r="B243" t="s">
        <v>621</v>
      </c>
      <c r="C243" t="s">
        <v>11</v>
      </c>
      <c r="D243" t="s">
        <v>43</v>
      </c>
      <c r="E243" s="4">
        <v>69709.509999999995</v>
      </c>
      <c r="F243" s="5" t="s">
        <v>502</v>
      </c>
      <c r="G243" s="6">
        <v>1</v>
      </c>
      <c r="H243" t="s">
        <v>13</v>
      </c>
      <c r="I243" t="s">
        <v>30</v>
      </c>
    </row>
    <row r="244" spans="1:9" x14ac:dyDescent="0.3">
      <c r="A244" t="s">
        <v>503</v>
      </c>
      <c r="B244" t="s">
        <v>622</v>
      </c>
      <c r="C244" t="s">
        <v>17</v>
      </c>
      <c r="D244" t="s">
        <v>43</v>
      </c>
      <c r="E244" s="4">
        <v>46751.7</v>
      </c>
      <c r="F244" s="5">
        <v>43843</v>
      </c>
      <c r="G244" s="6">
        <v>1</v>
      </c>
      <c r="H244" t="s">
        <v>27</v>
      </c>
      <c r="I244" t="s">
        <v>30</v>
      </c>
    </row>
    <row r="245" spans="1:9" x14ac:dyDescent="0.3">
      <c r="A245" t="s">
        <v>504</v>
      </c>
      <c r="B245" t="s">
        <v>623</v>
      </c>
      <c r="C245" t="s">
        <v>11</v>
      </c>
      <c r="D245" t="s">
        <v>22</v>
      </c>
      <c r="E245" s="4">
        <v>77096.05</v>
      </c>
      <c r="F245" s="5">
        <v>43217</v>
      </c>
      <c r="G245" s="6">
        <v>1</v>
      </c>
      <c r="H245" t="s">
        <v>13</v>
      </c>
      <c r="I245" t="s">
        <v>66</v>
      </c>
    </row>
    <row r="246" spans="1:9" x14ac:dyDescent="0.3">
      <c r="A246" t="s">
        <v>141</v>
      </c>
      <c r="B246" t="s">
        <v>142</v>
      </c>
      <c r="C246" t="s">
        <v>17</v>
      </c>
      <c r="D246" t="s">
        <v>93</v>
      </c>
      <c r="E246" s="4">
        <v>67818.14</v>
      </c>
      <c r="F246" s="5" t="s">
        <v>143</v>
      </c>
      <c r="G246" s="6">
        <v>0.6</v>
      </c>
      <c r="H246" t="s">
        <v>27</v>
      </c>
      <c r="I246" t="s">
        <v>14</v>
      </c>
    </row>
    <row r="247" spans="1:9" x14ac:dyDescent="0.3">
      <c r="A247" t="s">
        <v>505</v>
      </c>
      <c r="B247" t="s">
        <v>624</v>
      </c>
      <c r="C247" t="s">
        <v>11</v>
      </c>
      <c r="D247" t="s">
        <v>93</v>
      </c>
      <c r="E247" s="4">
        <v>77743.149999999994</v>
      </c>
      <c r="F247" s="5" t="s">
        <v>506</v>
      </c>
      <c r="G247" s="6">
        <v>1</v>
      </c>
      <c r="H247" t="s">
        <v>13</v>
      </c>
      <c r="I247" t="s">
        <v>66</v>
      </c>
    </row>
    <row r="248" spans="1:9" x14ac:dyDescent="0.3">
      <c r="A248" t="s">
        <v>507</v>
      </c>
      <c r="B248" t="s">
        <v>625</v>
      </c>
      <c r="C248" t="s">
        <v>11</v>
      </c>
      <c r="D248" t="s">
        <v>74</v>
      </c>
      <c r="E248" s="4">
        <v>48525.71</v>
      </c>
      <c r="F248" s="5" t="s">
        <v>508</v>
      </c>
      <c r="G248" s="6">
        <v>1</v>
      </c>
      <c r="H248" t="s">
        <v>13</v>
      </c>
      <c r="I248" t="s">
        <v>30</v>
      </c>
    </row>
    <row r="249" spans="1:9" x14ac:dyDescent="0.3">
      <c r="A249" t="s">
        <v>496</v>
      </c>
      <c r="B249" t="s">
        <v>497</v>
      </c>
      <c r="C249" t="s">
        <v>11</v>
      </c>
      <c r="D249" t="s">
        <v>74</v>
      </c>
      <c r="E249" s="4">
        <v>103494.94</v>
      </c>
      <c r="F249" s="5" t="s">
        <v>498</v>
      </c>
      <c r="G249" s="6">
        <v>1</v>
      </c>
      <c r="H249" t="s">
        <v>13</v>
      </c>
      <c r="I249" t="s">
        <v>14</v>
      </c>
    </row>
    <row r="250" spans="1:9" x14ac:dyDescent="0.3">
      <c r="A250" t="s">
        <v>494</v>
      </c>
      <c r="B250" t="s">
        <v>626</v>
      </c>
      <c r="C250" t="s">
        <v>11</v>
      </c>
      <c r="D250" t="s">
        <v>18</v>
      </c>
      <c r="E250" s="4">
        <v>106400.02</v>
      </c>
      <c r="F250" s="5" t="s">
        <v>495</v>
      </c>
      <c r="G250" s="6">
        <v>1</v>
      </c>
      <c r="H250" t="s">
        <v>59</v>
      </c>
      <c r="I250" t="s">
        <v>66</v>
      </c>
    </row>
    <row r="251" spans="1:9" x14ac:dyDescent="0.3">
      <c r="A251" t="s">
        <v>509</v>
      </c>
      <c r="B251" t="s">
        <v>510</v>
      </c>
      <c r="C251" t="s">
        <v>17</v>
      </c>
      <c r="D251" t="s">
        <v>25</v>
      </c>
      <c r="E251" s="4"/>
      <c r="F251" s="5" t="s">
        <v>511</v>
      </c>
      <c r="G251" s="6">
        <v>1</v>
      </c>
      <c r="H251" t="s">
        <v>13</v>
      </c>
      <c r="I251" t="s">
        <v>60</v>
      </c>
    </row>
    <row r="252" spans="1:9" x14ac:dyDescent="0.3">
      <c r="A252" t="s">
        <v>512</v>
      </c>
      <c r="B252" t="s">
        <v>513</v>
      </c>
      <c r="C252" t="s">
        <v>11</v>
      </c>
      <c r="D252" t="s">
        <v>74</v>
      </c>
      <c r="E252" s="4">
        <v>65569.36</v>
      </c>
      <c r="F252" s="5">
        <v>43293</v>
      </c>
      <c r="G252" s="6">
        <v>1</v>
      </c>
      <c r="H252" t="s">
        <v>27</v>
      </c>
      <c r="I252" t="s">
        <v>60</v>
      </c>
    </row>
    <row r="253" spans="1:9" x14ac:dyDescent="0.3">
      <c r="A253" t="s">
        <v>317</v>
      </c>
      <c r="B253" t="s">
        <v>627</v>
      </c>
      <c r="C253" t="s">
        <v>11</v>
      </c>
      <c r="D253" t="s">
        <v>93</v>
      </c>
      <c r="E253" s="4">
        <v>40445.29</v>
      </c>
      <c r="F253" s="5">
        <v>44393</v>
      </c>
      <c r="G253" s="6">
        <v>1</v>
      </c>
      <c r="H253" t="s">
        <v>13</v>
      </c>
      <c r="I253" t="s">
        <v>66</v>
      </c>
    </row>
    <row r="254" spans="1:9" x14ac:dyDescent="0.3">
      <c r="A254" t="s">
        <v>467</v>
      </c>
      <c r="B254" t="s">
        <v>468</v>
      </c>
      <c r="C254" t="s">
        <v>11</v>
      </c>
      <c r="D254" t="s">
        <v>33</v>
      </c>
      <c r="E254" s="4">
        <v>0</v>
      </c>
      <c r="F254" s="5">
        <v>44207</v>
      </c>
      <c r="G254" s="6">
        <v>0.7</v>
      </c>
      <c r="H254" t="s">
        <v>13</v>
      </c>
      <c r="I254" t="s">
        <v>19</v>
      </c>
    </row>
    <row r="255" spans="1:9" x14ac:dyDescent="0.3">
      <c r="A255" t="s">
        <v>514</v>
      </c>
      <c r="B255" t="s">
        <v>515</v>
      </c>
      <c r="C255" t="s">
        <v>17</v>
      </c>
      <c r="D255" t="s">
        <v>636</v>
      </c>
      <c r="E255" s="4">
        <v>114772.32</v>
      </c>
      <c r="F255" s="5" t="s">
        <v>516</v>
      </c>
      <c r="G255" s="6">
        <v>1</v>
      </c>
      <c r="H255" t="s">
        <v>13</v>
      </c>
      <c r="I255" t="s">
        <v>55</v>
      </c>
    </row>
    <row r="256" spans="1:9" x14ac:dyDescent="0.3">
      <c r="A256" t="s">
        <v>517</v>
      </c>
      <c r="B256" t="s">
        <v>518</v>
      </c>
      <c r="C256" t="s">
        <v>17</v>
      </c>
      <c r="D256" t="s">
        <v>25</v>
      </c>
      <c r="E256" s="4">
        <v>56253.81</v>
      </c>
      <c r="F256" s="5" t="s">
        <v>519</v>
      </c>
      <c r="G256" s="6">
        <v>1</v>
      </c>
      <c r="H256" t="s">
        <v>13</v>
      </c>
      <c r="I256" t="s">
        <v>60</v>
      </c>
    </row>
    <row r="257" spans="1:9" x14ac:dyDescent="0.3">
      <c r="A257" t="s">
        <v>520</v>
      </c>
      <c r="B257" t="s">
        <v>628</v>
      </c>
      <c r="C257" t="s">
        <v>17</v>
      </c>
      <c r="D257" t="s">
        <v>93</v>
      </c>
      <c r="E257" s="4">
        <v>51798.25</v>
      </c>
      <c r="F257" s="5" t="s">
        <v>131</v>
      </c>
      <c r="G257" s="6">
        <v>1</v>
      </c>
      <c r="H257" t="s">
        <v>13</v>
      </c>
      <c r="I257" t="s">
        <v>30</v>
      </c>
    </row>
    <row r="258" spans="1:9" x14ac:dyDescent="0.3">
      <c r="A258" t="s">
        <v>521</v>
      </c>
      <c r="B258" t="s">
        <v>522</v>
      </c>
      <c r="C258" t="s">
        <v>11</v>
      </c>
      <c r="D258" t="s">
        <v>74</v>
      </c>
      <c r="E258" s="4">
        <v>28329.77</v>
      </c>
      <c r="F258" s="5" t="s">
        <v>289</v>
      </c>
      <c r="G258" s="6">
        <v>1</v>
      </c>
      <c r="H258" t="s">
        <v>13</v>
      </c>
      <c r="I258" t="s">
        <v>19</v>
      </c>
    </row>
    <row r="259" spans="1:9" x14ac:dyDescent="0.3">
      <c r="A259" t="s">
        <v>523</v>
      </c>
      <c r="B259" t="s">
        <v>629</v>
      </c>
      <c r="C259" t="s">
        <v>17</v>
      </c>
      <c r="D259" t="s">
        <v>25</v>
      </c>
      <c r="E259" s="4">
        <v>93964.3</v>
      </c>
      <c r="F259" s="5">
        <v>44454</v>
      </c>
      <c r="G259" s="6">
        <v>0.4</v>
      </c>
      <c r="H259" t="s">
        <v>27</v>
      </c>
      <c r="I259" t="s">
        <v>30</v>
      </c>
    </row>
    <row r="260" spans="1:9" x14ac:dyDescent="0.3">
      <c r="A260" t="s">
        <v>524</v>
      </c>
      <c r="B260" t="s">
        <v>525</v>
      </c>
      <c r="C260" t="s">
        <v>11</v>
      </c>
      <c r="D260" t="s">
        <v>18</v>
      </c>
      <c r="E260" s="4">
        <v>90884.32</v>
      </c>
      <c r="F260" s="5">
        <v>44039</v>
      </c>
      <c r="G260" s="6">
        <v>0.5</v>
      </c>
      <c r="H260" t="s">
        <v>13</v>
      </c>
      <c r="I260" t="s">
        <v>55</v>
      </c>
    </row>
    <row r="261" spans="1:9" x14ac:dyDescent="0.3">
      <c r="A261" t="s">
        <v>526</v>
      </c>
      <c r="B261" t="s">
        <v>527</v>
      </c>
      <c r="C261" t="s">
        <v>11</v>
      </c>
      <c r="D261" t="s">
        <v>22</v>
      </c>
      <c r="E261" s="4">
        <v>84742.86</v>
      </c>
      <c r="F261" s="5" t="s">
        <v>528</v>
      </c>
      <c r="G261" s="6">
        <v>1</v>
      </c>
      <c r="H261" t="s">
        <v>13</v>
      </c>
      <c r="I261" t="s">
        <v>60</v>
      </c>
    </row>
    <row r="262" spans="1:9" x14ac:dyDescent="0.3">
      <c r="A262" t="s">
        <v>529</v>
      </c>
      <c r="B262" t="s">
        <v>530</v>
      </c>
      <c r="C262" t="s">
        <v>11</v>
      </c>
      <c r="D262" t="s">
        <v>80</v>
      </c>
      <c r="E262" s="4">
        <v>80772.92</v>
      </c>
      <c r="F262" s="5" t="s">
        <v>531</v>
      </c>
      <c r="G262" s="6">
        <v>1</v>
      </c>
      <c r="H262" t="s">
        <v>59</v>
      </c>
      <c r="I262" t="s">
        <v>14</v>
      </c>
    </row>
    <row r="263" spans="1:9" x14ac:dyDescent="0.3">
      <c r="A263" t="s">
        <v>532</v>
      </c>
      <c r="B263" t="s">
        <v>630</v>
      </c>
      <c r="C263" t="s">
        <v>17</v>
      </c>
      <c r="D263" t="s">
        <v>74</v>
      </c>
      <c r="E263" s="4">
        <v>85264.38</v>
      </c>
      <c r="F263" s="5" t="s">
        <v>533</v>
      </c>
      <c r="G263" s="6">
        <v>1</v>
      </c>
      <c r="H263" t="s">
        <v>13</v>
      </c>
      <c r="I263" t="s">
        <v>66</v>
      </c>
    </row>
    <row r="264" spans="1:9" x14ac:dyDescent="0.3">
      <c r="A264" t="s">
        <v>534</v>
      </c>
      <c r="B264" t="s">
        <v>535</v>
      </c>
      <c r="C264" t="s">
        <v>11</v>
      </c>
      <c r="D264" t="s">
        <v>74</v>
      </c>
      <c r="E264" s="4"/>
      <c r="F264" s="5" t="s">
        <v>186</v>
      </c>
      <c r="G264" s="6">
        <v>1</v>
      </c>
      <c r="H264" t="s">
        <v>13</v>
      </c>
      <c r="I264" t="s">
        <v>55</v>
      </c>
    </row>
    <row r="265" spans="1:9" x14ac:dyDescent="0.3">
      <c r="A265" t="s">
        <v>187</v>
      </c>
      <c r="B265" t="s">
        <v>188</v>
      </c>
      <c r="C265" t="s">
        <v>11</v>
      </c>
      <c r="D265" t="s">
        <v>99</v>
      </c>
      <c r="E265" s="4">
        <v>113747.56</v>
      </c>
      <c r="F265" s="5" t="s">
        <v>189</v>
      </c>
      <c r="G265" s="6">
        <v>0.7</v>
      </c>
      <c r="H265" t="s">
        <v>59</v>
      </c>
      <c r="I265" t="s">
        <v>55</v>
      </c>
    </row>
    <row r="266" spans="1:9" x14ac:dyDescent="0.3">
      <c r="A266" t="s">
        <v>536</v>
      </c>
      <c r="B266" t="s">
        <v>537</v>
      </c>
      <c r="C266" t="s">
        <v>17</v>
      </c>
      <c r="D266" t="s">
        <v>33</v>
      </c>
      <c r="E266" s="4">
        <v>78378.2</v>
      </c>
      <c r="F266" s="5">
        <v>43465</v>
      </c>
      <c r="G266" s="6">
        <v>0.4</v>
      </c>
      <c r="H266" t="s">
        <v>13</v>
      </c>
      <c r="I266" t="s">
        <v>14</v>
      </c>
    </row>
    <row r="267" spans="1:9" x14ac:dyDescent="0.3">
      <c r="A267" t="s">
        <v>538</v>
      </c>
      <c r="B267" t="s">
        <v>539</v>
      </c>
      <c r="C267" t="s">
        <v>11</v>
      </c>
      <c r="D267" t="s">
        <v>80</v>
      </c>
      <c r="E267" s="4">
        <v>91314.75</v>
      </c>
      <c r="F267" s="5">
        <v>43931</v>
      </c>
      <c r="G267" s="6">
        <v>1</v>
      </c>
      <c r="H267" t="s">
        <v>27</v>
      </c>
      <c r="I267" t="s">
        <v>19</v>
      </c>
    </row>
    <row r="268" spans="1:9" x14ac:dyDescent="0.3">
      <c r="A268" t="s">
        <v>250</v>
      </c>
      <c r="B268" t="s">
        <v>631</v>
      </c>
      <c r="C268" t="s">
        <v>11</v>
      </c>
      <c r="D268" t="s">
        <v>99</v>
      </c>
      <c r="E268" s="4">
        <v>66572.58</v>
      </c>
      <c r="F268" s="5" t="s">
        <v>251</v>
      </c>
      <c r="G268" s="6">
        <v>1</v>
      </c>
      <c r="H268" t="s">
        <v>13</v>
      </c>
      <c r="I268" t="s">
        <v>66</v>
      </c>
    </row>
    <row r="269" spans="1:9" x14ac:dyDescent="0.3">
      <c r="A269" t="s">
        <v>540</v>
      </c>
      <c r="B269" t="s">
        <v>541</v>
      </c>
      <c r="C269" t="s">
        <v>11</v>
      </c>
      <c r="D269" t="s">
        <v>37</v>
      </c>
      <c r="E269" s="4">
        <v>30077.45</v>
      </c>
      <c r="F269" s="5">
        <v>43474</v>
      </c>
      <c r="G269" s="6">
        <v>1</v>
      </c>
      <c r="H269" t="s">
        <v>13</v>
      </c>
      <c r="I269" t="s">
        <v>35</v>
      </c>
    </row>
    <row r="270" spans="1:9" x14ac:dyDescent="0.3">
      <c r="A270" t="s">
        <v>542</v>
      </c>
      <c r="B270" t="s">
        <v>543</v>
      </c>
      <c r="D270" t="s">
        <v>77</v>
      </c>
      <c r="E270" s="4">
        <v>98012.63</v>
      </c>
      <c r="F270" s="5">
        <v>43780</v>
      </c>
      <c r="G270" s="6">
        <v>1</v>
      </c>
      <c r="H270" t="s">
        <v>13</v>
      </c>
      <c r="I270" t="s">
        <v>14</v>
      </c>
    </row>
    <row r="271" spans="1:9" x14ac:dyDescent="0.3">
      <c r="A271" t="s">
        <v>544</v>
      </c>
      <c r="B271" t="s">
        <v>170</v>
      </c>
      <c r="C271" t="s">
        <v>11</v>
      </c>
      <c r="D271" t="s">
        <v>74</v>
      </c>
      <c r="E271" s="4">
        <v>72876.91</v>
      </c>
      <c r="F271" s="5">
        <v>43837</v>
      </c>
      <c r="G271" s="6">
        <v>1</v>
      </c>
      <c r="H271" t="s">
        <v>13</v>
      </c>
      <c r="I271" t="s">
        <v>14</v>
      </c>
    </row>
    <row r="272" spans="1:9" x14ac:dyDescent="0.3">
      <c r="A272" t="s">
        <v>545</v>
      </c>
      <c r="B272" t="s">
        <v>632</v>
      </c>
      <c r="C272" t="s">
        <v>11</v>
      </c>
      <c r="D272" t="s">
        <v>33</v>
      </c>
      <c r="E272" s="4">
        <v>92943.89</v>
      </c>
      <c r="F272" s="5">
        <v>44510</v>
      </c>
      <c r="G272" s="6">
        <v>1</v>
      </c>
      <c r="H272" t="s">
        <v>13</v>
      </c>
      <c r="I272" t="s">
        <v>30</v>
      </c>
    </row>
    <row r="273" spans="1:9" x14ac:dyDescent="0.3">
      <c r="A273" t="s">
        <v>546</v>
      </c>
      <c r="B273" t="s">
        <v>633</v>
      </c>
      <c r="C273" t="s">
        <v>17</v>
      </c>
      <c r="D273" t="s">
        <v>74</v>
      </c>
      <c r="E273" s="4">
        <v>29808.07</v>
      </c>
      <c r="F273" s="5" t="s">
        <v>547</v>
      </c>
      <c r="G273" s="6">
        <v>0.3</v>
      </c>
      <c r="H273" t="s">
        <v>59</v>
      </c>
      <c r="I273" t="s">
        <v>30</v>
      </c>
    </row>
    <row r="274" spans="1:9" x14ac:dyDescent="0.3">
      <c r="A274" t="s">
        <v>548</v>
      </c>
      <c r="B274" t="s">
        <v>549</v>
      </c>
      <c r="C274" t="s">
        <v>17</v>
      </c>
      <c r="D274" t="s">
        <v>80</v>
      </c>
      <c r="E274" s="4">
        <v>47551.89</v>
      </c>
      <c r="F274" s="5">
        <v>43468</v>
      </c>
      <c r="G274" s="6">
        <v>1</v>
      </c>
      <c r="H274" t="s">
        <v>13</v>
      </c>
      <c r="I274" t="s">
        <v>60</v>
      </c>
    </row>
    <row r="275" spans="1:9" x14ac:dyDescent="0.3">
      <c r="A275" t="s">
        <v>157</v>
      </c>
      <c r="B275" t="s">
        <v>634</v>
      </c>
      <c r="C275" t="s">
        <v>17</v>
      </c>
      <c r="D275" t="s">
        <v>43</v>
      </c>
      <c r="E275" s="4">
        <v>39700.82</v>
      </c>
      <c r="F275" s="5">
        <v>44203</v>
      </c>
      <c r="G275" s="6">
        <v>0.8</v>
      </c>
      <c r="H275" t="s">
        <v>13</v>
      </c>
      <c r="I275" t="s">
        <v>66</v>
      </c>
    </row>
    <row r="276" spans="1:9" x14ac:dyDescent="0.3">
      <c r="A276" t="s">
        <v>550</v>
      </c>
      <c r="B276" t="s">
        <v>635</v>
      </c>
      <c r="C276" t="s">
        <v>17</v>
      </c>
      <c r="D276" t="s">
        <v>99</v>
      </c>
      <c r="E276" s="4">
        <v>31089.22</v>
      </c>
      <c r="F276" s="5">
        <v>43776</v>
      </c>
      <c r="G276" s="6">
        <v>1</v>
      </c>
      <c r="H276" t="s">
        <v>27</v>
      </c>
      <c r="I276" t="s">
        <v>66</v>
      </c>
    </row>
    <row r="277" spans="1:9" x14ac:dyDescent="0.3">
      <c r="A277" t="s">
        <v>551</v>
      </c>
      <c r="B277" t="s">
        <v>552</v>
      </c>
      <c r="C277" t="s">
        <v>17</v>
      </c>
      <c r="D277" t="s">
        <v>80</v>
      </c>
      <c r="E277" s="4">
        <v>78020.39</v>
      </c>
      <c r="F277" s="5">
        <v>43899</v>
      </c>
      <c r="G277" s="6">
        <v>1</v>
      </c>
      <c r="H277" t="s">
        <v>13</v>
      </c>
      <c r="I277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2F67-5591-4F7D-95BB-659E5F60C93C}">
  <dimension ref="A1:J367"/>
  <sheetViews>
    <sheetView workbookViewId="0">
      <selection activeCell="J18" sqref="J18"/>
    </sheetView>
  </sheetViews>
  <sheetFormatPr defaultRowHeight="18.75" x14ac:dyDescent="0.3"/>
  <cols>
    <col min="1" max="1" width="10.09765625" bestFit="1" customWidth="1"/>
    <col min="10" max="10" width="11.5" bestFit="1" customWidth="1"/>
  </cols>
  <sheetData>
    <row r="1" spans="1:10" x14ac:dyDescent="0.3">
      <c r="A1" s="7">
        <v>37967</v>
      </c>
    </row>
    <row r="2" spans="1:10" x14ac:dyDescent="0.3">
      <c r="A2" s="7">
        <v>37968</v>
      </c>
    </row>
    <row r="3" spans="1:10" x14ac:dyDescent="0.3">
      <c r="A3" s="7">
        <v>37969</v>
      </c>
    </row>
    <row r="4" spans="1:10" x14ac:dyDescent="0.3">
      <c r="A4" s="7">
        <v>37970</v>
      </c>
    </row>
    <row r="5" spans="1:10" x14ac:dyDescent="0.3">
      <c r="A5" s="7">
        <v>37971</v>
      </c>
    </row>
    <row r="6" spans="1:10" x14ac:dyDescent="0.3">
      <c r="A6" s="7">
        <v>37972</v>
      </c>
    </row>
    <row r="7" spans="1:10" x14ac:dyDescent="0.3">
      <c r="A7" s="7">
        <v>37973</v>
      </c>
      <c r="J7" s="15">
        <v>515631</v>
      </c>
    </row>
    <row r="8" spans="1:10" x14ac:dyDescent="0.3">
      <c r="A8" s="7">
        <v>37974</v>
      </c>
      <c r="J8" s="15">
        <v>5123415631</v>
      </c>
    </row>
    <row r="9" spans="1:10" x14ac:dyDescent="0.3">
      <c r="A9" s="7">
        <v>37975</v>
      </c>
    </row>
    <row r="10" spans="1:10" x14ac:dyDescent="0.3">
      <c r="A10" s="7">
        <v>37976</v>
      </c>
    </row>
    <row r="11" spans="1:10" x14ac:dyDescent="0.3">
      <c r="A11" s="7">
        <v>37977</v>
      </c>
    </row>
    <row r="12" spans="1:10" x14ac:dyDescent="0.3">
      <c r="A12" s="7">
        <v>37978</v>
      </c>
    </row>
    <row r="13" spans="1:10" x14ac:dyDescent="0.3">
      <c r="A13" s="7">
        <v>37979</v>
      </c>
    </row>
    <row r="14" spans="1:10" x14ac:dyDescent="0.3">
      <c r="A14" s="7">
        <v>37980</v>
      </c>
    </row>
    <row r="15" spans="1:10" x14ac:dyDescent="0.3">
      <c r="A15" s="7">
        <v>37981</v>
      </c>
    </row>
    <row r="16" spans="1:10" x14ac:dyDescent="0.3">
      <c r="A16" s="7">
        <v>37982</v>
      </c>
    </row>
    <row r="17" spans="1:10" x14ac:dyDescent="0.3">
      <c r="A17" s="7">
        <v>37983</v>
      </c>
      <c r="J17">
        <f>FIND("12",J8,2)</f>
        <v>2</v>
      </c>
    </row>
    <row r="18" spans="1:10" x14ac:dyDescent="0.3">
      <c r="A18" s="7">
        <v>37984</v>
      </c>
    </row>
    <row r="19" spans="1:10" x14ac:dyDescent="0.3">
      <c r="A19" s="7">
        <v>37985</v>
      </c>
    </row>
    <row r="20" spans="1:10" x14ac:dyDescent="0.3">
      <c r="A20" s="7">
        <v>37986</v>
      </c>
    </row>
    <row r="21" spans="1:10" x14ac:dyDescent="0.3">
      <c r="A21" s="7">
        <v>37987</v>
      </c>
    </row>
    <row r="22" spans="1:10" x14ac:dyDescent="0.3">
      <c r="A22" s="7">
        <v>37988</v>
      </c>
    </row>
    <row r="23" spans="1:10" x14ac:dyDescent="0.3">
      <c r="A23" s="7">
        <v>37989</v>
      </c>
    </row>
    <row r="24" spans="1:10" x14ac:dyDescent="0.3">
      <c r="A24" s="7">
        <v>37990</v>
      </c>
    </row>
    <row r="25" spans="1:10" x14ac:dyDescent="0.3">
      <c r="A25" s="7">
        <v>37991</v>
      </c>
    </row>
    <row r="26" spans="1:10" x14ac:dyDescent="0.3">
      <c r="A26" s="7">
        <v>37992</v>
      </c>
    </row>
    <row r="27" spans="1:10" x14ac:dyDescent="0.3">
      <c r="A27" s="7">
        <v>37993</v>
      </c>
    </row>
    <row r="28" spans="1:10" x14ac:dyDescent="0.3">
      <c r="A28" s="7">
        <v>37994</v>
      </c>
    </row>
    <row r="29" spans="1:10" x14ac:dyDescent="0.3">
      <c r="A29" s="7">
        <v>37995</v>
      </c>
    </row>
    <row r="30" spans="1:10" x14ac:dyDescent="0.3">
      <c r="A30" s="7">
        <v>37996</v>
      </c>
    </row>
    <row r="31" spans="1:10" x14ac:dyDescent="0.3">
      <c r="A31" s="7">
        <v>37997</v>
      </c>
    </row>
    <row r="32" spans="1:10" x14ac:dyDescent="0.3">
      <c r="A32" s="7">
        <v>37998</v>
      </c>
    </row>
    <row r="33" spans="1:1" x14ac:dyDescent="0.3">
      <c r="A33" s="7">
        <v>37999</v>
      </c>
    </row>
    <row r="34" spans="1:1" x14ac:dyDescent="0.3">
      <c r="A34" s="7">
        <v>38000</v>
      </c>
    </row>
    <row r="35" spans="1:1" x14ac:dyDescent="0.3">
      <c r="A35" s="7">
        <v>38001</v>
      </c>
    </row>
    <row r="36" spans="1:1" x14ac:dyDescent="0.3">
      <c r="A36" s="7">
        <v>38002</v>
      </c>
    </row>
    <row r="37" spans="1:1" x14ac:dyDescent="0.3">
      <c r="A37" s="7">
        <v>38003</v>
      </c>
    </row>
    <row r="38" spans="1:1" x14ac:dyDescent="0.3">
      <c r="A38" s="7">
        <v>38004</v>
      </c>
    </row>
    <row r="39" spans="1:1" x14ac:dyDescent="0.3">
      <c r="A39" s="7">
        <v>38005</v>
      </c>
    </row>
    <row r="40" spans="1:1" x14ac:dyDescent="0.3">
      <c r="A40" s="7">
        <v>38006</v>
      </c>
    </row>
    <row r="41" spans="1:1" x14ac:dyDescent="0.3">
      <c r="A41" s="7">
        <v>38007</v>
      </c>
    </row>
    <row r="42" spans="1:1" x14ac:dyDescent="0.3">
      <c r="A42" s="7">
        <v>38008</v>
      </c>
    </row>
    <row r="43" spans="1:1" x14ac:dyDescent="0.3">
      <c r="A43" s="7">
        <v>38009</v>
      </c>
    </row>
    <row r="44" spans="1:1" x14ac:dyDescent="0.3">
      <c r="A44" s="7">
        <v>38010</v>
      </c>
    </row>
    <row r="45" spans="1:1" x14ac:dyDescent="0.3">
      <c r="A45" s="7">
        <v>38011</v>
      </c>
    </row>
    <row r="46" spans="1:1" x14ac:dyDescent="0.3">
      <c r="A46" s="7">
        <v>38012</v>
      </c>
    </row>
    <row r="47" spans="1:1" x14ac:dyDescent="0.3">
      <c r="A47" s="7">
        <v>38013</v>
      </c>
    </row>
    <row r="48" spans="1:1" x14ac:dyDescent="0.3">
      <c r="A48" s="7">
        <v>38014</v>
      </c>
    </row>
    <row r="49" spans="1:1" x14ac:dyDescent="0.3">
      <c r="A49" s="7">
        <v>38015</v>
      </c>
    </row>
    <row r="50" spans="1:1" x14ac:dyDescent="0.3">
      <c r="A50" s="7">
        <v>38016</v>
      </c>
    </row>
    <row r="51" spans="1:1" x14ac:dyDescent="0.3">
      <c r="A51" s="7">
        <v>38017</v>
      </c>
    </row>
    <row r="52" spans="1:1" x14ac:dyDescent="0.3">
      <c r="A52" s="7">
        <v>38018</v>
      </c>
    </row>
    <row r="53" spans="1:1" x14ac:dyDescent="0.3">
      <c r="A53" s="7">
        <v>38019</v>
      </c>
    </row>
    <row r="54" spans="1:1" x14ac:dyDescent="0.3">
      <c r="A54" s="7">
        <v>38020</v>
      </c>
    </row>
    <row r="55" spans="1:1" x14ac:dyDescent="0.3">
      <c r="A55" s="7">
        <v>38021</v>
      </c>
    </row>
    <row r="56" spans="1:1" x14ac:dyDescent="0.3">
      <c r="A56" s="7">
        <v>38022</v>
      </c>
    </row>
    <row r="57" spans="1:1" x14ac:dyDescent="0.3">
      <c r="A57" s="7">
        <v>38023</v>
      </c>
    </row>
    <row r="58" spans="1:1" x14ac:dyDescent="0.3">
      <c r="A58" s="7">
        <v>38024</v>
      </c>
    </row>
    <row r="59" spans="1:1" x14ac:dyDescent="0.3">
      <c r="A59" s="7">
        <v>38025</v>
      </c>
    </row>
    <row r="60" spans="1:1" x14ac:dyDescent="0.3">
      <c r="A60" s="7">
        <v>38026</v>
      </c>
    </row>
    <row r="61" spans="1:1" x14ac:dyDescent="0.3">
      <c r="A61" s="7">
        <v>38027</v>
      </c>
    </row>
    <row r="62" spans="1:1" x14ac:dyDescent="0.3">
      <c r="A62" s="7">
        <v>38028</v>
      </c>
    </row>
    <row r="63" spans="1:1" x14ac:dyDescent="0.3">
      <c r="A63" s="7">
        <v>38029</v>
      </c>
    </row>
    <row r="64" spans="1:1" x14ac:dyDescent="0.3">
      <c r="A64" s="7">
        <v>38030</v>
      </c>
    </row>
    <row r="65" spans="1:1" x14ac:dyDescent="0.3">
      <c r="A65" s="7">
        <v>38031</v>
      </c>
    </row>
    <row r="66" spans="1:1" x14ac:dyDescent="0.3">
      <c r="A66" s="7">
        <v>38032</v>
      </c>
    </row>
    <row r="67" spans="1:1" x14ac:dyDescent="0.3">
      <c r="A67" s="7">
        <v>38033</v>
      </c>
    </row>
    <row r="68" spans="1:1" x14ac:dyDescent="0.3">
      <c r="A68" s="7">
        <v>38034</v>
      </c>
    </row>
    <row r="69" spans="1:1" x14ac:dyDescent="0.3">
      <c r="A69" s="7">
        <v>38035</v>
      </c>
    </row>
    <row r="70" spans="1:1" x14ac:dyDescent="0.3">
      <c r="A70" s="7">
        <v>38036</v>
      </c>
    </row>
    <row r="71" spans="1:1" x14ac:dyDescent="0.3">
      <c r="A71" s="7">
        <v>38037</v>
      </c>
    </row>
    <row r="72" spans="1:1" x14ac:dyDescent="0.3">
      <c r="A72" s="7">
        <v>38038</v>
      </c>
    </row>
    <row r="73" spans="1:1" x14ac:dyDescent="0.3">
      <c r="A73" s="7">
        <v>38039</v>
      </c>
    </row>
    <row r="74" spans="1:1" x14ac:dyDescent="0.3">
      <c r="A74" s="7">
        <v>38040</v>
      </c>
    </row>
    <row r="75" spans="1:1" x14ac:dyDescent="0.3">
      <c r="A75" s="7">
        <v>38041</v>
      </c>
    </row>
    <row r="76" spans="1:1" x14ac:dyDescent="0.3">
      <c r="A76" s="7">
        <v>38042</v>
      </c>
    </row>
    <row r="77" spans="1:1" x14ac:dyDescent="0.3">
      <c r="A77" s="7">
        <v>38043</v>
      </c>
    </row>
    <row r="78" spans="1:1" x14ac:dyDescent="0.3">
      <c r="A78" s="7">
        <v>38044</v>
      </c>
    </row>
    <row r="79" spans="1:1" x14ac:dyDescent="0.3">
      <c r="A79" s="7">
        <v>38045</v>
      </c>
    </row>
    <row r="80" spans="1:1" x14ac:dyDescent="0.3">
      <c r="A80" s="7">
        <v>38046</v>
      </c>
    </row>
    <row r="81" spans="1:1" x14ac:dyDescent="0.3">
      <c r="A81" s="7">
        <v>38047</v>
      </c>
    </row>
    <row r="82" spans="1:1" x14ac:dyDescent="0.3">
      <c r="A82" s="7">
        <v>38048</v>
      </c>
    </row>
    <row r="83" spans="1:1" x14ac:dyDescent="0.3">
      <c r="A83" s="7">
        <v>38049</v>
      </c>
    </row>
    <row r="84" spans="1:1" x14ac:dyDescent="0.3">
      <c r="A84" s="7">
        <v>38050</v>
      </c>
    </row>
    <row r="85" spans="1:1" x14ac:dyDescent="0.3">
      <c r="A85" s="7">
        <v>38051</v>
      </c>
    </row>
    <row r="86" spans="1:1" x14ac:dyDescent="0.3">
      <c r="A86" s="7">
        <v>38052</v>
      </c>
    </row>
    <row r="87" spans="1:1" x14ac:dyDescent="0.3">
      <c r="A87" s="7">
        <v>38053</v>
      </c>
    </row>
    <row r="88" spans="1:1" x14ac:dyDescent="0.3">
      <c r="A88" s="7">
        <v>38054</v>
      </c>
    </row>
    <row r="89" spans="1:1" x14ac:dyDescent="0.3">
      <c r="A89" s="7">
        <v>38055</v>
      </c>
    </row>
    <row r="90" spans="1:1" x14ac:dyDescent="0.3">
      <c r="A90" s="7">
        <v>38056</v>
      </c>
    </row>
    <row r="91" spans="1:1" x14ac:dyDescent="0.3">
      <c r="A91" s="7">
        <v>38057</v>
      </c>
    </row>
    <row r="92" spans="1:1" x14ac:dyDescent="0.3">
      <c r="A92" s="7">
        <v>38058</v>
      </c>
    </row>
    <row r="93" spans="1:1" x14ac:dyDescent="0.3">
      <c r="A93" s="7">
        <v>38059</v>
      </c>
    </row>
    <row r="94" spans="1:1" x14ac:dyDescent="0.3">
      <c r="A94" s="7">
        <v>38060</v>
      </c>
    </row>
    <row r="95" spans="1:1" x14ac:dyDescent="0.3">
      <c r="A95" s="7">
        <v>38061</v>
      </c>
    </row>
    <row r="96" spans="1:1" x14ac:dyDescent="0.3">
      <c r="A96" s="7">
        <v>38062</v>
      </c>
    </row>
    <row r="97" spans="1:1" x14ac:dyDescent="0.3">
      <c r="A97" s="7">
        <v>38063</v>
      </c>
    </row>
    <row r="98" spans="1:1" x14ac:dyDescent="0.3">
      <c r="A98" s="7">
        <v>38064</v>
      </c>
    </row>
    <row r="99" spans="1:1" x14ac:dyDescent="0.3">
      <c r="A99" s="7">
        <v>38065</v>
      </c>
    </row>
    <row r="100" spans="1:1" x14ac:dyDescent="0.3">
      <c r="A100" s="7">
        <v>38066</v>
      </c>
    </row>
    <row r="101" spans="1:1" x14ac:dyDescent="0.3">
      <c r="A101" s="7">
        <v>38067</v>
      </c>
    </row>
    <row r="102" spans="1:1" x14ac:dyDescent="0.3">
      <c r="A102" s="7">
        <v>38068</v>
      </c>
    </row>
    <row r="103" spans="1:1" x14ac:dyDescent="0.3">
      <c r="A103" s="7">
        <v>38069</v>
      </c>
    </row>
    <row r="104" spans="1:1" x14ac:dyDescent="0.3">
      <c r="A104" s="7">
        <v>38070</v>
      </c>
    </row>
    <row r="105" spans="1:1" x14ac:dyDescent="0.3">
      <c r="A105" s="7">
        <v>38071</v>
      </c>
    </row>
    <row r="106" spans="1:1" x14ac:dyDescent="0.3">
      <c r="A106" s="7">
        <v>38072</v>
      </c>
    </row>
    <row r="107" spans="1:1" x14ac:dyDescent="0.3">
      <c r="A107" s="7">
        <v>38073</v>
      </c>
    </row>
    <row r="108" spans="1:1" x14ac:dyDescent="0.3">
      <c r="A108" s="7">
        <v>38074</v>
      </c>
    </row>
    <row r="109" spans="1:1" x14ac:dyDescent="0.3">
      <c r="A109" s="7">
        <v>38075</v>
      </c>
    </row>
    <row r="110" spans="1:1" x14ac:dyDescent="0.3">
      <c r="A110" s="7">
        <v>38076</v>
      </c>
    </row>
    <row r="111" spans="1:1" x14ac:dyDescent="0.3">
      <c r="A111" s="7">
        <v>38077</v>
      </c>
    </row>
    <row r="112" spans="1:1" x14ac:dyDescent="0.3">
      <c r="A112" s="7">
        <v>38078</v>
      </c>
    </row>
    <row r="113" spans="1:1" x14ac:dyDescent="0.3">
      <c r="A113" s="7">
        <v>38079</v>
      </c>
    </row>
    <row r="114" spans="1:1" x14ac:dyDescent="0.3">
      <c r="A114" s="7">
        <v>38080</v>
      </c>
    </row>
    <row r="115" spans="1:1" x14ac:dyDescent="0.3">
      <c r="A115" s="7">
        <v>38081</v>
      </c>
    </row>
    <row r="116" spans="1:1" x14ac:dyDescent="0.3">
      <c r="A116" s="7">
        <v>38082</v>
      </c>
    </row>
    <row r="117" spans="1:1" x14ac:dyDescent="0.3">
      <c r="A117" s="7">
        <v>38083</v>
      </c>
    </row>
    <row r="118" spans="1:1" x14ac:dyDescent="0.3">
      <c r="A118" s="7">
        <v>38084</v>
      </c>
    </row>
    <row r="119" spans="1:1" x14ac:dyDescent="0.3">
      <c r="A119" s="7">
        <v>38085</v>
      </c>
    </row>
    <row r="120" spans="1:1" x14ac:dyDescent="0.3">
      <c r="A120" s="7">
        <v>38086</v>
      </c>
    </row>
    <row r="121" spans="1:1" x14ac:dyDescent="0.3">
      <c r="A121" s="7">
        <v>38087</v>
      </c>
    </row>
    <row r="122" spans="1:1" x14ac:dyDescent="0.3">
      <c r="A122" s="7">
        <v>38088</v>
      </c>
    </row>
    <row r="123" spans="1:1" x14ac:dyDescent="0.3">
      <c r="A123" s="7">
        <v>38089</v>
      </c>
    </row>
    <row r="124" spans="1:1" x14ac:dyDescent="0.3">
      <c r="A124" s="7">
        <v>38090</v>
      </c>
    </row>
    <row r="125" spans="1:1" x14ac:dyDescent="0.3">
      <c r="A125" s="7">
        <v>38091</v>
      </c>
    </row>
    <row r="126" spans="1:1" x14ac:dyDescent="0.3">
      <c r="A126" s="7">
        <v>38092</v>
      </c>
    </row>
    <row r="127" spans="1:1" x14ac:dyDescent="0.3">
      <c r="A127" s="7">
        <v>38093</v>
      </c>
    </row>
    <row r="128" spans="1:1" x14ac:dyDescent="0.3">
      <c r="A128" s="7">
        <v>38094</v>
      </c>
    </row>
    <row r="129" spans="1:1" x14ac:dyDescent="0.3">
      <c r="A129" s="7">
        <v>38095</v>
      </c>
    </row>
    <row r="130" spans="1:1" x14ac:dyDescent="0.3">
      <c r="A130" s="7">
        <v>38096</v>
      </c>
    </row>
    <row r="131" spans="1:1" x14ac:dyDescent="0.3">
      <c r="A131" s="7">
        <v>38097</v>
      </c>
    </row>
    <row r="132" spans="1:1" x14ac:dyDescent="0.3">
      <c r="A132" s="7">
        <v>38098</v>
      </c>
    </row>
    <row r="133" spans="1:1" x14ac:dyDescent="0.3">
      <c r="A133" s="7">
        <v>38099</v>
      </c>
    </row>
    <row r="134" spans="1:1" x14ac:dyDescent="0.3">
      <c r="A134" s="7">
        <v>38100</v>
      </c>
    </row>
    <row r="135" spans="1:1" x14ac:dyDescent="0.3">
      <c r="A135" s="7">
        <v>38101</v>
      </c>
    </row>
    <row r="136" spans="1:1" x14ac:dyDescent="0.3">
      <c r="A136" s="7">
        <v>38102</v>
      </c>
    </row>
    <row r="137" spans="1:1" x14ac:dyDescent="0.3">
      <c r="A137" s="7">
        <v>38103</v>
      </c>
    </row>
    <row r="138" spans="1:1" x14ac:dyDescent="0.3">
      <c r="A138" s="7">
        <v>38104</v>
      </c>
    </row>
    <row r="139" spans="1:1" x14ac:dyDescent="0.3">
      <c r="A139" s="7">
        <v>38105</v>
      </c>
    </row>
    <row r="140" spans="1:1" x14ac:dyDescent="0.3">
      <c r="A140" s="7">
        <v>38106</v>
      </c>
    </row>
    <row r="141" spans="1:1" x14ac:dyDescent="0.3">
      <c r="A141" s="7">
        <v>38107</v>
      </c>
    </row>
    <row r="142" spans="1:1" x14ac:dyDescent="0.3">
      <c r="A142" s="7">
        <v>38108</v>
      </c>
    </row>
    <row r="143" spans="1:1" x14ac:dyDescent="0.3">
      <c r="A143" s="7">
        <v>38109</v>
      </c>
    </row>
    <row r="144" spans="1:1" x14ac:dyDescent="0.3">
      <c r="A144" s="7">
        <v>38110</v>
      </c>
    </row>
    <row r="145" spans="1:1" x14ac:dyDescent="0.3">
      <c r="A145" s="7">
        <v>38111</v>
      </c>
    </row>
    <row r="146" spans="1:1" x14ac:dyDescent="0.3">
      <c r="A146" s="7">
        <v>38112</v>
      </c>
    </row>
    <row r="147" spans="1:1" x14ac:dyDescent="0.3">
      <c r="A147" s="7">
        <v>38113</v>
      </c>
    </row>
    <row r="148" spans="1:1" x14ac:dyDescent="0.3">
      <c r="A148" s="7">
        <v>38114</v>
      </c>
    </row>
    <row r="149" spans="1:1" x14ac:dyDescent="0.3">
      <c r="A149" s="7">
        <v>38115</v>
      </c>
    </row>
    <row r="150" spans="1:1" x14ac:dyDescent="0.3">
      <c r="A150" s="7">
        <v>38116</v>
      </c>
    </row>
    <row r="151" spans="1:1" x14ac:dyDescent="0.3">
      <c r="A151" s="7">
        <v>38117</v>
      </c>
    </row>
    <row r="152" spans="1:1" x14ac:dyDescent="0.3">
      <c r="A152" s="7">
        <v>38118</v>
      </c>
    </row>
    <row r="153" spans="1:1" x14ac:dyDescent="0.3">
      <c r="A153" s="7">
        <v>38119</v>
      </c>
    </row>
    <row r="154" spans="1:1" x14ac:dyDescent="0.3">
      <c r="A154" s="7">
        <v>38120</v>
      </c>
    </row>
    <row r="155" spans="1:1" x14ac:dyDescent="0.3">
      <c r="A155" s="7">
        <v>38121</v>
      </c>
    </row>
    <row r="156" spans="1:1" x14ac:dyDescent="0.3">
      <c r="A156" s="7">
        <v>38122</v>
      </c>
    </row>
    <row r="157" spans="1:1" x14ac:dyDescent="0.3">
      <c r="A157" s="7">
        <v>38123</v>
      </c>
    </row>
    <row r="158" spans="1:1" x14ac:dyDescent="0.3">
      <c r="A158" s="7">
        <v>38124</v>
      </c>
    </row>
    <row r="159" spans="1:1" x14ac:dyDescent="0.3">
      <c r="A159" s="7">
        <v>38125</v>
      </c>
    </row>
    <row r="160" spans="1:1" x14ac:dyDescent="0.3">
      <c r="A160" s="7">
        <v>38126</v>
      </c>
    </row>
    <row r="161" spans="1:1" x14ac:dyDescent="0.3">
      <c r="A161" s="7">
        <v>38127</v>
      </c>
    </row>
    <row r="162" spans="1:1" x14ac:dyDescent="0.3">
      <c r="A162" s="7">
        <v>38128</v>
      </c>
    </row>
    <row r="163" spans="1:1" x14ac:dyDescent="0.3">
      <c r="A163" s="7">
        <v>38129</v>
      </c>
    </row>
    <row r="164" spans="1:1" x14ac:dyDescent="0.3">
      <c r="A164" s="7">
        <v>38130</v>
      </c>
    </row>
    <row r="165" spans="1:1" x14ac:dyDescent="0.3">
      <c r="A165" s="7">
        <v>38131</v>
      </c>
    </row>
    <row r="166" spans="1:1" x14ac:dyDescent="0.3">
      <c r="A166" s="7">
        <v>38132</v>
      </c>
    </row>
    <row r="167" spans="1:1" x14ac:dyDescent="0.3">
      <c r="A167" s="7">
        <v>38133</v>
      </c>
    </row>
    <row r="168" spans="1:1" x14ac:dyDescent="0.3">
      <c r="A168" s="7">
        <v>38134</v>
      </c>
    </row>
    <row r="169" spans="1:1" x14ac:dyDescent="0.3">
      <c r="A169" s="7">
        <v>38135</v>
      </c>
    </row>
    <row r="170" spans="1:1" x14ac:dyDescent="0.3">
      <c r="A170" s="7">
        <v>38136</v>
      </c>
    </row>
    <row r="171" spans="1:1" x14ac:dyDescent="0.3">
      <c r="A171" s="7">
        <v>38137</v>
      </c>
    </row>
    <row r="172" spans="1:1" x14ac:dyDescent="0.3">
      <c r="A172" s="7">
        <v>38138</v>
      </c>
    </row>
    <row r="173" spans="1:1" x14ac:dyDescent="0.3">
      <c r="A173" s="7">
        <v>38139</v>
      </c>
    </row>
    <row r="174" spans="1:1" x14ac:dyDescent="0.3">
      <c r="A174" s="7">
        <v>38140</v>
      </c>
    </row>
    <row r="175" spans="1:1" x14ac:dyDescent="0.3">
      <c r="A175" s="7">
        <v>38141</v>
      </c>
    </row>
    <row r="176" spans="1:1" x14ac:dyDescent="0.3">
      <c r="A176" s="7">
        <v>38142</v>
      </c>
    </row>
    <row r="177" spans="1:1" x14ac:dyDescent="0.3">
      <c r="A177" s="7">
        <v>38143</v>
      </c>
    </row>
    <row r="178" spans="1:1" x14ac:dyDescent="0.3">
      <c r="A178" s="7">
        <v>38144</v>
      </c>
    </row>
    <row r="179" spans="1:1" x14ac:dyDescent="0.3">
      <c r="A179" s="7">
        <v>38145</v>
      </c>
    </row>
    <row r="180" spans="1:1" x14ac:dyDescent="0.3">
      <c r="A180" s="7">
        <v>38146</v>
      </c>
    </row>
    <row r="181" spans="1:1" x14ac:dyDescent="0.3">
      <c r="A181" s="7">
        <v>38147</v>
      </c>
    </row>
    <row r="182" spans="1:1" x14ac:dyDescent="0.3">
      <c r="A182" s="7">
        <v>38148</v>
      </c>
    </row>
    <row r="183" spans="1:1" x14ac:dyDescent="0.3">
      <c r="A183" s="7">
        <v>38149</v>
      </c>
    </row>
    <row r="184" spans="1:1" x14ac:dyDescent="0.3">
      <c r="A184" s="7">
        <v>38150</v>
      </c>
    </row>
    <row r="185" spans="1:1" x14ac:dyDescent="0.3">
      <c r="A185" s="7">
        <v>38151</v>
      </c>
    </row>
    <row r="186" spans="1:1" x14ac:dyDescent="0.3">
      <c r="A186" s="7">
        <v>38152</v>
      </c>
    </row>
    <row r="187" spans="1:1" x14ac:dyDescent="0.3">
      <c r="A187" s="7">
        <v>38153</v>
      </c>
    </row>
    <row r="188" spans="1:1" x14ac:dyDescent="0.3">
      <c r="A188" s="7">
        <v>38154</v>
      </c>
    </row>
    <row r="189" spans="1:1" x14ac:dyDescent="0.3">
      <c r="A189" s="7">
        <v>38155</v>
      </c>
    </row>
    <row r="190" spans="1:1" x14ac:dyDescent="0.3">
      <c r="A190" s="7">
        <v>38156</v>
      </c>
    </row>
    <row r="191" spans="1:1" x14ac:dyDescent="0.3">
      <c r="A191" s="7">
        <v>38157</v>
      </c>
    </row>
    <row r="192" spans="1:1" x14ac:dyDescent="0.3">
      <c r="A192" s="7">
        <v>38158</v>
      </c>
    </row>
    <row r="193" spans="1:1" x14ac:dyDescent="0.3">
      <c r="A193" s="7">
        <v>38159</v>
      </c>
    </row>
    <row r="194" spans="1:1" x14ac:dyDescent="0.3">
      <c r="A194" s="7">
        <v>38160</v>
      </c>
    </row>
    <row r="195" spans="1:1" x14ac:dyDescent="0.3">
      <c r="A195" s="7">
        <v>38161</v>
      </c>
    </row>
    <row r="196" spans="1:1" x14ac:dyDescent="0.3">
      <c r="A196" s="7">
        <v>38162</v>
      </c>
    </row>
    <row r="197" spans="1:1" x14ac:dyDescent="0.3">
      <c r="A197" s="7">
        <v>38163</v>
      </c>
    </row>
    <row r="198" spans="1:1" x14ac:dyDescent="0.3">
      <c r="A198" s="7">
        <v>38164</v>
      </c>
    </row>
    <row r="199" spans="1:1" x14ac:dyDescent="0.3">
      <c r="A199" s="7">
        <v>38165</v>
      </c>
    </row>
    <row r="200" spans="1:1" x14ac:dyDescent="0.3">
      <c r="A200" s="7">
        <v>38166</v>
      </c>
    </row>
    <row r="201" spans="1:1" x14ac:dyDescent="0.3">
      <c r="A201" s="7">
        <v>38167</v>
      </c>
    </row>
    <row r="202" spans="1:1" x14ac:dyDescent="0.3">
      <c r="A202" s="7">
        <v>38168</v>
      </c>
    </row>
    <row r="203" spans="1:1" x14ac:dyDescent="0.3">
      <c r="A203" s="7">
        <v>38169</v>
      </c>
    </row>
    <row r="204" spans="1:1" x14ac:dyDescent="0.3">
      <c r="A204" s="7">
        <v>38170</v>
      </c>
    </row>
    <row r="205" spans="1:1" x14ac:dyDescent="0.3">
      <c r="A205" s="7">
        <v>38171</v>
      </c>
    </row>
    <row r="206" spans="1:1" x14ac:dyDescent="0.3">
      <c r="A206" s="7">
        <v>38172</v>
      </c>
    </row>
    <row r="207" spans="1:1" x14ac:dyDescent="0.3">
      <c r="A207" s="7">
        <v>38173</v>
      </c>
    </row>
    <row r="208" spans="1:1" x14ac:dyDescent="0.3">
      <c r="A208" s="7">
        <v>38174</v>
      </c>
    </row>
    <row r="209" spans="1:1" x14ac:dyDescent="0.3">
      <c r="A209" s="7">
        <v>38175</v>
      </c>
    </row>
    <row r="210" spans="1:1" x14ac:dyDescent="0.3">
      <c r="A210" s="7">
        <v>38176</v>
      </c>
    </row>
    <row r="211" spans="1:1" x14ac:dyDescent="0.3">
      <c r="A211" s="7">
        <v>38177</v>
      </c>
    </row>
    <row r="212" spans="1:1" x14ac:dyDescent="0.3">
      <c r="A212" s="7">
        <v>38178</v>
      </c>
    </row>
    <row r="213" spans="1:1" x14ac:dyDescent="0.3">
      <c r="A213" s="7">
        <v>38179</v>
      </c>
    </row>
    <row r="214" spans="1:1" x14ac:dyDescent="0.3">
      <c r="A214" s="7">
        <v>38180</v>
      </c>
    </row>
    <row r="215" spans="1:1" x14ac:dyDescent="0.3">
      <c r="A215" s="7">
        <v>38181</v>
      </c>
    </row>
    <row r="216" spans="1:1" x14ac:dyDescent="0.3">
      <c r="A216" s="7">
        <v>38182</v>
      </c>
    </row>
    <row r="217" spans="1:1" x14ac:dyDescent="0.3">
      <c r="A217" s="7">
        <v>38183</v>
      </c>
    </row>
    <row r="218" spans="1:1" x14ac:dyDescent="0.3">
      <c r="A218" s="7">
        <v>38184</v>
      </c>
    </row>
    <row r="219" spans="1:1" x14ac:dyDescent="0.3">
      <c r="A219" s="7">
        <v>38185</v>
      </c>
    </row>
    <row r="220" spans="1:1" x14ac:dyDescent="0.3">
      <c r="A220" s="7">
        <v>38186</v>
      </c>
    </row>
    <row r="221" spans="1:1" x14ac:dyDescent="0.3">
      <c r="A221" s="7">
        <v>38187</v>
      </c>
    </row>
    <row r="222" spans="1:1" x14ac:dyDescent="0.3">
      <c r="A222" s="7">
        <v>38188</v>
      </c>
    </row>
    <row r="223" spans="1:1" x14ac:dyDescent="0.3">
      <c r="A223" s="7">
        <v>38189</v>
      </c>
    </row>
    <row r="224" spans="1:1" x14ac:dyDescent="0.3">
      <c r="A224" s="7">
        <v>38190</v>
      </c>
    </row>
    <row r="225" spans="1:1" x14ac:dyDescent="0.3">
      <c r="A225" s="7">
        <v>38191</v>
      </c>
    </row>
    <row r="226" spans="1:1" x14ac:dyDescent="0.3">
      <c r="A226" s="7">
        <v>38192</v>
      </c>
    </row>
    <row r="227" spans="1:1" x14ac:dyDescent="0.3">
      <c r="A227" s="7">
        <v>38193</v>
      </c>
    </row>
    <row r="228" spans="1:1" x14ac:dyDescent="0.3">
      <c r="A228" s="7">
        <v>38194</v>
      </c>
    </row>
    <row r="229" spans="1:1" x14ac:dyDescent="0.3">
      <c r="A229" s="7">
        <v>38195</v>
      </c>
    </row>
    <row r="230" spans="1:1" x14ac:dyDescent="0.3">
      <c r="A230" s="7">
        <v>38196</v>
      </c>
    </row>
    <row r="231" spans="1:1" x14ac:dyDescent="0.3">
      <c r="A231" s="7">
        <v>38197</v>
      </c>
    </row>
    <row r="232" spans="1:1" x14ac:dyDescent="0.3">
      <c r="A232" s="7">
        <v>38198</v>
      </c>
    </row>
    <row r="233" spans="1:1" x14ac:dyDescent="0.3">
      <c r="A233" s="7">
        <v>38199</v>
      </c>
    </row>
    <row r="234" spans="1:1" x14ac:dyDescent="0.3">
      <c r="A234" s="7">
        <v>38200</v>
      </c>
    </row>
    <row r="235" spans="1:1" x14ac:dyDescent="0.3">
      <c r="A235" s="7">
        <v>38201</v>
      </c>
    </row>
    <row r="236" spans="1:1" x14ac:dyDescent="0.3">
      <c r="A236" s="7">
        <v>38202</v>
      </c>
    </row>
    <row r="237" spans="1:1" x14ac:dyDescent="0.3">
      <c r="A237" s="7">
        <v>38203</v>
      </c>
    </row>
    <row r="238" spans="1:1" x14ac:dyDescent="0.3">
      <c r="A238" s="7">
        <v>38204</v>
      </c>
    </row>
    <row r="239" spans="1:1" x14ac:dyDescent="0.3">
      <c r="A239" s="7">
        <v>38205</v>
      </c>
    </row>
    <row r="240" spans="1:1" x14ac:dyDescent="0.3">
      <c r="A240" s="7">
        <v>38206</v>
      </c>
    </row>
    <row r="241" spans="1:1" x14ac:dyDescent="0.3">
      <c r="A241" s="7">
        <v>38207</v>
      </c>
    </row>
    <row r="242" spans="1:1" x14ac:dyDescent="0.3">
      <c r="A242" s="7">
        <v>38208</v>
      </c>
    </row>
    <row r="243" spans="1:1" x14ac:dyDescent="0.3">
      <c r="A243" s="7">
        <v>38209</v>
      </c>
    </row>
    <row r="244" spans="1:1" x14ac:dyDescent="0.3">
      <c r="A244" s="7">
        <v>38210</v>
      </c>
    </row>
    <row r="245" spans="1:1" x14ac:dyDescent="0.3">
      <c r="A245" s="7">
        <v>38211</v>
      </c>
    </row>
    <row r="246" spans="1:1" x14ac:dyDescent="0.3">
      <c r="A246" s="7">
        <v>38212</v>
      </c>
    </row>
    <row r="247" spans="1:1" x14ac:dyDescent="0.3">
      <c r="A247" s="7">
        <v>38213</v>
      </c>
    </row>
    <row r="248" spans="1:1" x14ac:dyDescent="0.3">
      <c r="A248" s="7">
        <v>38214</v>
      </c>
    </row>
    <row r="249" spans="1:1" x14ac:dyDescent="0.3">
      <c r="A249" s="7">
        <v>38215</v>
      </c>
    </row>
    <row r="250" spans="1:1" x14ac:dyDescent="0.3">
      <c r="A250" s="7">
        <v>38216</v>
      </c>
    </row>
    <row r="251" spans="1:1" x14ac:dyDescent="0.3">
      <c r="A251" s="7">
        <v>38217</v>
      </c>
    </row>
    <row r="252" spans="1:1" x14ac:dyDescent="0.3">
      <c r="A252" s="7">
        <v>38218</v>
      </c>
    </row>
    <row r="253" spans="1:1" x14ac:dyDescent="0.3">
      <c r="A253" s="7">
        <v>38219</v>
      </c>
    </row>
    <row r="254" spans="1:1" x14ac:dyDescent="0.3">
      <c r="A254" s="7">
        <v>38220</v>
      </c>
    </row>
    <row r="255" spans="1:1" x14ac:dyDescent="0.3">
      <c r="A255" s="7">
        <v>38221</v>
      </c>
    </row>
    <row r="256" spans="1:1" x14ac:dyDescent="0.3">
      <c r="A256" s="7">
        <v>38222</v>
      </c>
    </row>
    <row r="257" spans="1:1" x14ac:dyDescent="0.3">
      <c r="A257" s="7">
        <v>38223</v>
      </c>
    </row>
    <row r="258" spans="1:1" x14ac:dyDescent="0.3">
      <c r="A258" s="7">
        <v>38224</v>
      </c>
    </row>
    <row r="259" spans="1:1" x14ac:dyDescent="0.3">
      <c r="A259" s="7">
        <v>38225</v>
      </c>
    </row>
    <row r="260" spans="1:1" x14ac:dyDescent="0.3">
      <c r="A260" s="7">
        <v>38226</v>
      </c>
    </row>
    <row r="261" spans="1:1" x14ac:dyDescent="0.3">
      <c r="A261" s="7">
        <v>38227</v>
      </c>
    </row>
    <row r="262" spans="1:1" x14ac:dyDescent="0.3">
      <c r="A262" s="7">
        <v>38228</v>
      </c>
    </row>
    <row r="263" spans="1:1" x14ac:dyDescent="0.3">
      <c r="A263" s="7">
        <v>38229</v>
      </c>
    </row>
    <row r="264" spans="1:1" x14ac:dyDescent="0.3">
      <c r="A264" s="7">
        <v>38230</v>
      </c>
    </row>
    <row r="265" spans="1:1" x14ac:dyDescent="0.3">
      <c r="A265" s="7">
        <v>38231</v>
      </c>
    </row>
    <row r="266" spans="1:1" x14ac:dyDescent="0.3">
      <c r="A266" s="7">
        <v>38232</v>
      </c>
    </row>
    <row r="267" spans="1:1" x14ac:dyDescent="0.3">
      <c r="A267" s="7">
        <v>38233</v>
      </c>
    </row>
    <row r="268" spans="1:1" x14ac:dyDescent="0.3">
      <c r="A268" s="7">
        <v>38234</v>
      </c>
    </row>
    <row r="269" spans="1:1" x14ac:dyDescent="0.3">
      <c r="A269" s="7">
        <v>38235</v>
      </c>
    </row>
    <row r="270" spans="1:1" x14ac:dyDescent="0.3">
      <c r="A270" s="7">
        <v>38236</v>
      </c>
    </row>
    <row r="271" spans="1:1" x14ac:dyDescent="0.3">
      <c r="A271" s="7">
        <v>38237</v>
      </c>
    </row>
    <row r="272" spans="1:1" x14ac:dyDescent="0.3">
      <c r="A272" s="7">
        <v>38238</v>
      </c>
    </row>
    <row r="273" spans="1:1" x14ac:dyDescent="0.3">
      <c r="A273" s="7">
        <v>38239</v>
      </c>
    </row>
    <row r="274" spans="1:1" x14ac:dyDescent="0.3">
      <c r="A274" s="7">
        <v>38240</v>
      </c>
    </row>
    <row r="275" spans="1:1" x14ac:dyDescent="0.3">
      <c r="A275" s="7">
        <v>38241</v>
      </c>
    </row>
    <row r="276" spans="1:1" x14ac:dyDescent="0.3">
      <c r="A276" s="7">
        <v>38242</v>
      </c>
    </row>
    <row r="277" spans="1:1" x14ac:dyDescent="0.3">
      <c r="A277" s="7">
        <v>38243</v>
      </c>
    </row>
    <row r="278" spans="1:1" x14ac:dyDescent="0.3">
      <c r="A278" s="7">
        <v>38244</v>
      </c>
    </row>
    <row r="279" spans="1:1" x14ac:dyDescent="0.3">
      <c r="A279" s="7">
        <v>38245</v>
      </c>
    </row>
    <row r="280" spans="1:1" x14ac:dyDescent="0.3">
      <c r="A280" s="7">
        <v>38246</v>
      </c>
    </row>
    <row r="281" spans="1:1" x14ac:dyDescent="0.3">
      <c r="A281" s="7">
        <v>38247</v>
      </c>
    </row>
    <row r="282" spans="1:1" x14ac:dyDescent="0.3">
      <c r="A282" s="7">
        <v>38248</v>
      </c>
    </row>
    <row r="283" spans="1:1" x14ac:dyDescent="0.3">
      <c r="A283" s="7">
        <v>38249</v>
      </c>
    </row>
    <row r="284" spans="1:1" x14ac:dyDescent="0.3">
      <c r="A284" s="7">
        <v>38250</v>
      </c>
    </row>
    <row r="285" spans="1:1" x14ac:dyDescent="0.3">
      <c r="A285" s="7">
        <v>38251</v>
      </c>
    </row>
    <row r="286" spans="1:1" x14ac:dyDescent="0.3">
      <c r="A286" s="7">
        <v>38252</v>
      </c>
    </row>
    <row r="287" spans="1:1" x14ac:dyDescent="0.3">
      <c r="A287" s="7">
        <v>38253</v>
      </c>
    </row>
    <row r="288" spans="1:1" x14ac:dyDescent="0.3">
      <c r="A288" s="7">
        <v>38254</v>
      </c>
    </row>
    <row r="289" spans="1:1" x14ac:dyDescent="0.3">
      <c r="A289" s="7">
        <v>38255</v>
      </c>
    </row>
    <row r="290" spans="1:1" x14ac:dyDescent="0.3">
      <c r="A290" s="7">
        <v>38256</v>
      </c>
    </row>
    <row r="291" spans="1:1" x14ac:dyDescent="0.3">
      <c r="A291" s="7">
        <v>38257</v>
      </c>
    </row>
    <row r="292" spans="1:1" x14ac:dyDescent="0.3">
      <c r="A292" s="7">
        <v>38258</v>
      </c>
    </row>
    <row r="293" spans="1:1" x14ac:dyDescent="0.3">
      <c r="A293" s="7">
        <v>38259</v>
      </c>
    </row>
    <row r="294" spans="1:1" x14ac:dyDescent="0.3">
      <c r="A294" s="7">
        <v>38260</v>
      </c>
    </row>
    <row r="295" spans="1:1" x14ac:dyDescent="0.3">
      <c r="A295" s="7">
        <v>38261</v>
      </c>
    </row>
    <row r="296" spans="1:1" x14ac:dyDescent="0.3">
      <c r="A296" s="7">
        <v>38262</v>
      </c>
    </row>
    <row r="297" spans="1:1" x14ac:dyDescent="0.3">
      <c r="A297" s="7">
        <v>38263</v>
      </c>
    </row>
    <row r="298" spans="1:1" x14ac:dyDescent="0.3">
      <c r="A298" s="7">
        <v>38264</v>
      </c>
    </row>
    <row r="299" spans="1:1" x14ac:dyDescent="0.3">
      <c r="A299" s="7">
        <v>38265</v>
      </c>
    </row>
    <row r="300" spans="1:1" x14ac:dyDescent="0.3">
      <c r="A300" s="7">
        <v>38266</v>
      </c>
    </row>
    <row r="301" spans="1:1" x14ac:dyDescent="0.3">
      <c r="A301" s="7">
        <v>38267</v>
      </c>
    </row>
    <row r="302" spans="1:1" x14ac:dyDescent="0.3">
      <c r="A302" s="7">
        <v>38268</v>
      </c>
    </row>
    <row r="303" spans="1:1" x14ac:dyDescent="0.3">
      <c r="A303" s="7">
        <v>38269</v>
      </c>
    </row>
    <row r="304" spans="1:1" x14ac:dyDescent="0.3">
      <c r="A304" s="7">
        <v>38270</v>
      </c>
    </row>
    <row r="305" spans="1:1" x14ac:dyDescent="0.3">
      <c r="A305" s="7">
        <v>38271</v>
      </c>
    </row>
    <row r="306" spans="1:1" x14ac:dyDescent="0.3">
      <c r="A306" s="7">
        <v>38272</v>
      </c>
    </row>
    <row r="307" spans="1:1" x14ac:dyDescent="0.3">
      <c r="A307" s="7">
        <v>38273</v>
      </c>
    </row>
    <row r="308" spans="1:1" x14ac:dyDescent="0.3">
      <c r="A308" s="7">
        <v>38274</v>
      </c>
    </row>
    <row r="309" spans="1:1" x14ac:dyDescent="0.3">
      <c r="A309" s="7">
        <v>38275</v>
      </c>
    </row>
    <row r="310" spans="1:1" x14ac:dyDescent="0.3">
      <c r="A310" s="7">
        <v>38276</v>
      </c>
    </row>
    <row r="311" spans="1:1" x14ac:dyDescent="0.3">
      <c r="A311" s="7">
        <v>38277</v>
      </c>
    </row>
    <row r="312" spans="1:1" x14ac:dyDescent="0.3">
      <c r="A312" s="7">
        <v>38278</v>
      </c>
    </row>
    <row r="313" spans="1:1" x14ac:dyDescent="0.3">
      <c r="A313" s="7">
        <v>38279</v>
      </c>
    </row>
    <row r="314" spans="1:1" x14ac:dyDescent="0.3">
      <c r="A314" s="7">
        <v>38280</v>
      </c>
    </row>
    <row r="315" spans="1:1" x14ac:dyDescent="0.3">
      <c r="A315" s="7">
        <v>38281</v>
      </c>
    </row>
    <row r="316" spans="1:1" x14ac:dyDescent="0.3">
      <c r="A316" s="7">
        <v>38282</v>
      </c>
    </row>
    <row r="317" spans="1:1" x14ac:dyDescent="0.3">
      <c r="A317" s="7">
        <v>38283</v>
      </c>
    </row>
    <row r="318" spans="1:1" x14ac:dyDescent="0.3">
      <c r="A318" s="7">
        <v>38284</v>
      </c>
    </row>
    <row r="319" spans="1:1" x14ac:dyDescent="0.3">
      <c r="A319" s="7">
        <v>38285</v>
      </c>
    </row>
    <row r="320" spans="1:1" x14ac:dyDescent="0.3">
      <c r="A320" s="7">
        <v>38286</v>
      </c>
    </row>
    <row r="321" spans="1:1" x14ac:dyDescent="0.3">
      <c r="A321" s="7">
        <v>38287</v>
      </c>
    </row>
    <row r="322" spans="1:1" x14ac:dyDescent="0.3">
      <c r="A322" s="7">
        <v>38288</v>
      </c>
    </row>
    <row r="323" spans="1:1" x14ac:dyDescent="0.3">
      <c r="A323" s="7">
        <v>38289</v>
      </c>
    </row>
    <row r="324" spans="1:1" x14ac:dyDescent="0.3">
      <c r="A324" s="7">
        <v>38290</v>
      </c>
    </row>
    <row r="325" spans="1:1" x14ac:dyDescent="0.3">
      <c r="A325" s="7">
        <v>38291</v>
      </c>
    </row>
    <row r="326" spans="1:1" x14ac:dyDescent="0.3">
      <c r="A326" s="7">
        <v>38292</v>
      </c>
    </row>
    <row r="327" spans="1:1" x14ac:dyDescent="0.3">
      <c r="A327" s="7">
        <v>38293</v>
      </c>
    </row>
    <row r="328" spans="1:1" x14ac:dyDescent="0.3">
      <c r="A328" s="7">
        <v>38294</v>
      </c>
    </row>
    <row r="329" spans="1:1" x14ac:dyDescent="0.3">
      <c r="A329" s="7">
        <v>38295</v>
      </c>
    </row>
    <row r="330" spans="1:1" x14ac:dyDescent="0.3">
      <c r="A330" s="7">
        <v>38296</v>
      </c>
    </row>
    <row r="331" spans="1:1" x14ac:dyDescent="0.3">
      <c r="A331" s="7">
        <v>38297</v>
      </c>
    </row>
    <row r="332" spans="1:1" x14ac:dyDescent="0.3">
      <c r="A332" s="7">
        <v>38298</v>
      </c>
    </row>
    <row r="333" spans="1:1" x14ac:dyDescent="0.3">
      <c r="A333" s="7">
        <v>38299</v>
      </c>
    </row>
    <row r="334" spans="1:1" x14ac:dyDescent="0.3">
      <c r="A334" s="7">
        <v>38300</v>
      </c>
    </row>
    <row r="335" spans="1:1" x14ac:dyDescent="0.3">
      <c r="A335" s="7">
        <v>38301</v>
      </c>
    </row>
    <row r="336" spans="1:1" x14ac:dyDescent="0.3">
      <c r="A336" s="7">
        <v>38302</v>
      </c>
    </row>
    <row r="337" spans="1:1" x14ac:dyDescent="0.3">
      <c r="A337" s="7">
        <v>38303</v>
      </c>
    </row>
    <row r="338" spans="1:1" x14ac:dyDescent="0.3">
      <c r="A338" s="7">
        <v>38304</v>
      </c>
    </row>
    <row r="339" spans="1:1" x14ac:dyDescent="0.3">
      <c r="A339" s="7">
        <v>38305</v>
      </c>
    </row>
    <row r="340" spans="1:1" x14ac:dyDescent="0.3">
      <c r="A340" s="7">
        <v>38306</v>
      </c>
    </row>
    <row r="341" spans="1:1" x14ac:dyDescent="0.3">
      <c r="A341" s="7">
        <v>38307</v>
      </c>
    </row>
    <row r="342" spans="1:1" x14ac:dyDescent="0.3">
      <c r="A342" s="7">
        <v>38308</v>
      </c>
    </row>
    <row r="343" spans="1:1" x14ac:dyDescent="0.3">
      <c r="A343" s="7">
        <v>38309</v>
      </c>
    </row>
    <row r="344" spans="1:1" x14ac:dyDescent="0.3">
      <c r="A344" s="7">
        <v>38310</v>
      </c>
    </row>
    <row r="345" spans="1:1" x14ac:dyDescent="0.3">
      <c r="A345" s="7">
        <v>38311</v>
      </c>
    </row>
    <row r="346" spans="1:1" x14ac:dyDescent="0.3">
      <c r="A346" s="7">
        <v>38312</v>
      </c>
    </row>
    <row r="347" spans="1:1" x14ac:dyDescent="0.3">
      <c r="A347" s="7">
        <v>38313</v>
      </c>
    </row>
    <row r="348" spans="1:1" x14ac:dyDescent="0.3">
      <c r="A348" s="7">
        <v>38314</v>
      </c>
    </row>
    <row r="349" spans="1:1" x14ac:dyDescent="0.3">
      <c r="A349" s="7">
        <v>38315</v>
      </c>
    </row>
    <row r="350" spans="1:1" x14ac:dyDescent="0.3">
      <c r="A350" s="7">
        <v>38316</v>
      </c>
    </row>
    <row r="351" spans="1:1" x14ac:dyDescent="0.3">
      <c r="A351" s="7">
        <v>38317</v>
      </c>
    </row>
    <row r="352" spans="1:1" x14ac:dyDescent="0.3">
      <c r="A352" s="7">
        <v>38318</v>
      </c>
    </row>
    <row r="353" spans="1:1" x14ac:dyDescent="0.3">
      <c r="A353" s="7">
        <v>38319</v>
      </c>
    </row>
    <row r="354" spans="1:1" x14ac:dyDescent="0.3">
      <c r="A354" s="7">
        <v>38320</v>
      </c>
    </row>
    <row r="355" spans="1:1" x14ac:dyDescent="0.3">
      <c r="A355" s="7">
        <v>38321</v>
      </c>
    </row>
    <row r="356" spans="1:1" x14ac:dyDescent="0.3">
      <c r="A356" s="7">
        <v>38322</v>
      </c>
    </row>
    <row r="357" spans="1:1" x14ac:dyDescent="0.3">
      <c r="A357" s="7">
        <v>38323</v>
      </c>
    </row>
    <row r="358" spans="1:1" x14ac:dyDescent="0.3">
      <c r="A358" s="7">
        <v>38324</v>
      </c>
    </row>
    <row r="359" spans="1:1" x14ac:dyDescent="0.3">
      <c r="A359" s="7">
        <v>38325</v>
      </c>
    </row>
    <row r="360" spans="1:1" x14ac:dyDescent="0.3">
      <c r="A360" s="7">
        <v>38326</v>
      </c>
    </row>
    <row r="361" spans="1:1" x14ac:dyDescent="0.3">
      <c r="A361" s="7">
        <v>38327</v>
      </c>
    </row>
    <row r="362" spans="1:1" x14ac:dyDescent="0.3">
      <c r="A362" s="7">
        <v>38328</v>
      </c>
    </row>
    <row r="363" spans="1:1" x14ac:dyDescent="0.3">
      <c r="A363" s="7">
        <v>38329</v>
      </c>
    </row>
    <row r="364" spans="1:1" x14ac:dyDescent="0.3">
      <c r="A364" s="7">
        <v>38330</v>
      </c>
    </row>
    <row r="365" spans="1:1" x14ac:dyDescent="0.3">
      <c r="A365" s="7">
        <v>38331</v>
      </c>
    </row>
    <row r="366" spans="1:1" x14ac:dyDescent="0.3">
      <c r="A366" s="7">
        <v>38332</v>
      </c>
    </row>
    <row r="367" spans="1:1" x14ac:dyDescent="0.3">
      <c r="A367" s="7">
        <v>38333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6EAE52-EA07-4E9F-9956-B9BDC22AC2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pivot charts</vt:lpstr>
      <vt:lpstr>Salary (2)</vt:lpstr>
      <vt:lpstr>Salary</vt:lpstr>
      <vt:lpstr>Staff (2)</vt:lpstr>
      <vt:lpstr>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MITS</cp:lastModifiedBy>
  <dcterms:created xsi:type="dcterms:W3CDTF">2024-06-20T21:17:08Z</dcterms:created>
  <dcterms:modified xsi:type="dcterms:W3CDTF">2026-06-04T11:13:39Z</dcterms:modified>
</cp:coreProperties>
</file>