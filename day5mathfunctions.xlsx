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3701DC22-AB5E-4480-B784-8BBA3475976B}" xr6:coauthVersionLast="47" xr6:coauthVersionMax="47" xr10:uidLastSave="{00000000-0000-0000-0000-000000000000}"/>
  <bookViews>
    <workbookView xWindow="-120" yWindow="-120" windowWidth="29040" windowHeight="15720" xr2:uid="{D8DD2A99-B997-4986-8C42-5D42BB7EEB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8" i="1" l="1"/>
  <c r="U8" i="1"/>
  <c r="W8" i="1"/>
  <c r="Y8" i="1"/>
  <c r="AA8" i="1"/>
  <c r="AC8" i="1"/>
  <c r="AF8" i="1"/>
  <c r="S9" i="1"/>
  <c r="U9" i="1"/>
  <c r="W9" i="1"/>
  <c r="Y9" i="1"/>
  <c r="AA9" i="1"/>
  <c r="AC9" i="1"/>
  <c r="AF9" i="1"/>
  <c r="S10" i="1"/>
  <c r="U10" i="1"/>
  <c r="W10" i="1"/>
  <c r="Y10" i="1"/>
  <c r="AA10" i="1"/>
  <c r="AC10" i="1"/>
  <c r="AF10" i="1"/>
  <c r="S11" i="1"/>
  <c r="U11" i="1"/>
  <c r="W11" i="1"/>
  <c r="Y11" i="1"/>
  <c r="AA11" i="1"/>
  <c r="AC11" i="1"/>
  <c r="S12" i="1"/>
  <c r="U12" i="1"/>
  <c r="W12" i="1"/>
  <c r="Y12" i="1"/>
  <c r="AA12" i="1"/>
  <c r="AC12" i="1"/>
  <c r="S13" i="1"/>
  <c r="U13" i="1"/>
  <c r="W13" i="1"/>
  <c r="Y13" i="1"/>
  <c r="AA13" i="1"/>
  <c r="AC13" i="1"/>
  <c r="S14" i="1"/>
  <c r="U14" i="1"/>
  <c r="W14" i="1"/>
  <c r="Y14" i="1"/>
  <c r="AA14" i="1"/>
  <c r="AC14" i="1"/>
  <c r="S15" i="1"/>
  <c r="U15" i="1"/>
  <c r="W15" i="1"/>
  <c r="Y15" i="1"/>
  <c r="AA15" i="1"/>
  <c r="AC15" i="1"/>
  <c r="AF15" i="1"/>
  <c r="S16" i="1"/>
  <c r="U16" i="1"/>
  <c r="W16" i="1"/>
  <c r="Y16" i="1"/>
  <c r="AA16" i="1"/>
  <c r="AC16" i="1"/>
  <c r="AF16" i="1"/>
  <c r="S17" i="1"/>
  <c r="U17" i="1"/>
  <c r="W17" i="1"/>
  <c r="Y17" i="1"/>
  <c r="AA17" i="1"/>
  <c r="AC17" i="1"/>
  <c r="AF17" i="1"/>
  <c r="S18" i="1"/>
  <c r="U18" i="1"/>
  <c r="W18" i="1"/>
  <c r="Y18" i="1"/>
  <c r="AA18" i="1"/>
  <c r="AC18" i="1"/>
  <c r="S19" i="1"/>
  <c r="U19" i="1"/>
  <c r="W19" i="1"/>
  <c r="Y19" i="1"/>
  <c r="AA19" i="1"/>
  <c r="AC19" i="1"/>
  <c r="S20" i="1"/>
  <c r="U20" i="1"/>
  <c r="W20" i="1"/>
  <c r="Y20" i="1"/>
  <c r="AA20" i="1"/>
  <c r="AC20" i="1"/>
  <c r="S21" i="1"/>
  <c r="U21" i="1"/>
  <c r="W21" i="1"/>
  <c r="Y21" i="1"/>
  <c r="AA21" i="1"/>
  <c r="AC21" i="1"/>
  <c r="AF21" i="1"/>
  <c r="S22" i="1"/>
  <c r="U22" i="1"/>
  <c r="W22" i="1"/>
  <c r="Y22" i="1"/>
  <c r="AA22" i="1"/>
  <c r="AC22" i="1"/>
  <c r="AF22" i="1"/>
  <c r="S23" i="1"/>
  <c r="U23" i="1"/>
  <c r="W23" i="1"/>
  <c r="Y23" i="1"/>
  <c r="AA23" i="1"/>
  <c r="AC23" i="1"/>
  <c r="AF23" i="1"/>
  <c r="S24" i="1"/>
  <c r="U24" i="1"/>
  <c r="W24" i="1"/>
  <c r="Y24" i="1"/>
  <c r="AA24" i="1"/>
  <c r="AC24" i="1"/>
  <c r="S25" i="1"/>
  <c r="U25" i="1"/>
  <c r="W25" i="1"/>
  <c r="Y25" i="1"/>
  <c r="AA25" i="1"/>
  <c r="AC25" i="1"/>
  <c r="S26" i="1"/>
  <c r="U26" i="1"/>
  <c r="W26" i="1"/>
  <c r="Y26" i="1"/>
  <c r="AA26" i="1"/>
  <c r="AC26" i="1"/>
  <c r="S27" i="1"/>
  <c r="U27" i="1"/>
  <c r="W27" i="1"/>
  <c r="Y27" i="1"/>
  <c r="AA27" i="1"/>
  <c r="AC27" i="1"/>
  <c r="AF27" i="1"/>
  <c r="S28" i="1"/>
  <c r="U28" i="1"/>
  <c r="W28" i="1"/>
  <c r="Y28" i="1"/>
  <c r="AA28" i="1"/>
  <c r="AC28" i="1"/>
  <c r="AF28" i="1"/>
  <c r="S29" i="1"/>
  <c r="U29" i="1"/>
  <c r="W29" i="1"/>
  <c r="Y29" i="1"/>
  <c r="AA29" i="1"/>
  <c r="AC29" i="1"/>
  <c r="AF29" i="1"/>
  <c r="S30" i="1"/>
  <c r="U30" i="1"/>
  <c r="W30" i="1"/>
  <c r="Y30" i="1"/>
  <c r="AA30" i="1"/>
  <c r="AC30" i="1"/>
  <c r="S31" i="1"/>
  <c r="U31" i="1"/>
  <c r="W31" i="1"/>
  <c r="Y31" i="1"/>
  <c r="AA31" i="1"/>
  <c r="AC31" i="1"/>
  <c r="S32" i="1"/>
  <c r="U32" i="1"/>
  <c r="W32" i="1"/>
  <c r="Y32" i="1"/>
  <c r="AA32" i="1"/>
  <c r="AC32" i="1"/>
</calcChain>
</file>

<file path=xl/sharedStrings.xml><?xml version="1.0" encoding="utf-8"?>
<sst xmlns="http://schemas.openxmlformats.org/spreadsheetml/2006/main" count="391" uniqueCount="163">
  <si>
    <t>Yes</t>
  </si>
  <si>
    <t>Standard</t>
  </si>
  <si>
    <t>Non-Binary</t>
  </si>
  <si>
    <t>Sydney, Australia</t>
  </si>
  <si>
    <t>35-44</t>
  </si>
  <si>
    <t>S805</t>
  </si>
  <si>
    <t>Books</t>
  </si>
  <si>
    <t>Textbooks</t>
  </si>
  <si>
    <t>P5247</t>
  </si>
  <si>
    <t>Paris, France</t>
  </si>
  <si>
    <t>25-34</t>
  </si>
  <si>
    <t>S768</t>
  </si>
  <si>
    <t>Apparel</t>
  </si>
  <si>
    <t>Shirt</t>
  </si>
  <si>
    <t>P8414</t>
  </si>
  <si>
    <t>No</t>
  </si>
  <si>
    <t>Express</t>
  </si>
  <si>
    <t>Female</t>
  </si>
  <si>
    <t>Mumbai, India</t>
  </si>
  <si>
    <t>18-24</t>
  </si>
  <si>
    <t>S233</t>
  </si>
  <si>
    <t>Jeans</t>
  </si>
  <si>
    <t>P8121</t>
  </si>
  <si>
    <t>Tokyo, Japan</t>
  </si>
  <si>
    <t>S677</t>
  </si>
  <si>
    <t>Home Appliances</t>
  </si>
  <si>
    <t>Vacuum Cleaner</t>
  </si>
  <si>
    <t>P9462</t>
  </si>
  <si>
    <t>Overnight</t>
  </si>
  <si>
    <t>Singapore</t>
  </si>
  <si>
    <t>Microwave</t>
  </si>
  <si>
    <t>P4874</t>
  </si>
  <si>
    <t>Los Angeles, USA</t>
  </si>
  <si>
    <t>45-54</t>
  </si>
  <si>
    <t>S739</t>
  </si>
  <si>
    <t>Footwear</t>
  </si>
  <si>
    <t>Sneakers</t>
  </si>
  <si>
    <t>P6975</t>
  </si>
  <si>
    <t>S330</t>
  </si>
  <si>
    <t>Electronics</t>
  </si>
  <si>
    <t>Gaming Console</t>
  </si>
  <si>
    <t>P8286</t>
  </si>
  <si>
    <t>New York, USA</t>
  </si>
  <si>
    <t>S833</t>
  </si>
  <si>
    <t>Sweater</t>
  </si>
  <si>
    <t>P9511</t>
  </si>
  <si>
    <t>Male</t>
  </si>
  <si>
    <t>Phoenix, USA</t>
  </si>
  <si>
    <t>55+</t>
  </si>
  <si>
    <t>S666</t>
  </si>
  <si>
    <t>Dishwasher</t>
  </si>
  <si>
    <t>P1368</t>
  </si>
  <si>
    <t>Cape Town, South Africa</t>
  </si>
  <si>
    <t>S250</t>
  </si>
  <si>
    <t>Socks</t>
  </si>
  <si>
    <t>P3395</t>
  </si>
  <si>
    <t>Dubai, UAE</t>
  </si>
  <si>
    <t>S312</t>
  </si>
  <si>
    <t>P7405</t>
  </si>
  <si>
    <t>Cookbooks</t>
  </si>
  <si>
    <t>P4049</t>
  </si>
  <si>
    <t>S503</t>
  </si>
  <si>
    <t>Sandals</t>
  </si>
  <si>
    <t>P5806</t>
  </si>
  <si>
    <t>Houston, USA</t>
  </si>
  <si>
    <t>S318</t>
  </si>
  <si>
    <t>Smartphone</t>
  </si>
  <si>
    <t>P1543</t>
  </si>
  <si>
    <t>avgifs</t>
  </si>
  <si>
    <t>S514</t>
  </si>
  <si>
    <t>P8171</t>
  </si>
  <si>
    <t>S441</t>
  </si>
  <si>
    <t>P6295</t>
  </si>
  <si>
    <t>S637</t>
  </si>
  <si>
    <t>P9660</t>
  </si>
  <si>
    <t>Chicago, USA</t>
  </si>
  <si>
    <t>S137</t>
  </si>
  <si>
    <t>Skirt</t>
  </si>
  <si>
    <t>P3629</t>
  </si>
  <si>
    <t>S915</t>
  </si>
  <si>
    <t>Comics</t>
  </si>
  <si>
    <t>P9470</t>
  </si>
  <si>
    <t>S689</t>
  </si>
  <si>
    <t>Monitor</t>
  </si>
  <si>
    <t>P9427</t>
  </si>
  <si>
    <t>avgif</t>
  </si>
  <si>
    <t>S328</t>
  </si>
  <si>
    <t>Boots</t>
  </si>
  <si>
    <t>P7834</t>
  </si>
  <si>
    <t>Berlin, Germany</t>
  </si>
  <si>
    <t>S702</t>
  </si>
  <si>
    <t>P2339</t>
  </si>
  <si>
    <t>S732</t>
  </si>
  <si>
    <t>P2766</t>
  </si>
  <si>
    <t>London, UK</t>
  </si>
  <si>
    <t>S597</t>
  </si>
  <si>
    <t>Washing Machine</t>
  </si>
  <si>
    <t>P5172</t>
  </si>
  <si>
    <t>Toronto, Canada</t>
  </si>
  <si>
    <t>S194</t>
  </si>
  <si>
    <t>Hiking Shoes</t>
  </si>
  <si>
    <t>P2019</t>
  </si>
  <si>
    <t>S204</t>
  </si>
  <si>
    <t>Fiction</t>
  </si>
  <si>
    <t>P3045</t>
  </si>
  <si>
    <t>sumifs</t>
  </si>
  <si>
    <t>S640</t>
  </si>
  <si>
    <t>Smartwatch</t>
  </si>
  <si>
    <t>P8707</t>
  </si>
  <si>
    <t>S975</t>
  </si>
  <si>
    <t>P3700</t>
  </si>
  <si>
    <t>S501</t>
  </si>
  <si>
    <t>P6094</t>
  </si>
  <si>
    <t>S672</t>
  </si>
  <si>
    <t>Heels</t>
  </si>
  <si>
    <t>P9687</t>
  </si>
  <si>
    <t>S183</t>
  </si>
  <si>
    <t>P1241</t>
  </si>
  <si>
    <t>S396</t>
  </si>
  <si>
    <t>Blender</t>
  </si>
  <si>
    <t>P1060</t>
  </si>
  <si>
    <t>S878</t>
  </si>
  <si>
    <t>Running Shoes</t>
  </si>
  <si>
    <t>P7313</t>
  </si>
  <si>
    <t>sumif</t>
  </si>
  <si>
    <t>rounddown</t>
  </si>
  <si>
    <t>roundup</t>
  </si>
  <si>
    <t>factorial</t>
  </si>
  <si>
    <t>sqrt</t>
  </si>
  <si>
    <t>mod</t>
  </si>
  <si>
    <t>product</t>
  </si>
  <si>
    <t>S523</t>
  </si>
  <si>
    <t>Non-Fiction</t>
  </si>
  <si>
    <t>P1388</t>
  </si>
  <si>
    <t>S331</t>
  </si>
  <si>
    <t>Camera</t>
  </si>
  <si>
    <t>P4594</t>
  </si>
  <si>
    <t>S104</t>
  </si>
  <si>
    <t>P8545</t>
  </si>
  <si>
    <t>S118</t>
  </si>
  <si>
    <t>P2941</t>
  </si>
  <si>
    <t>S583</t>
  </si>
  <si>
    <t>P5132</t>
  </si>
  <si>
    <t>S535</t>
  </si>
  <si>
    <t>Jacket</t>
  </si>
  <si>
    <t>P6879</t>
  </si>
  <si>
    <t>Popularity Index</t>
  </si>
  <si>
    <t>Seasonality</t>
  </si>
  <si>
    <t>Return Rate</t>
  </si>
  <si>
    <t>Shipping Method</t>
  </si>
  <si>
    <t>Shipping Cost</t>
  </si>
  <si>
    <t>Customer Gender</t>
  </si>
  <si>
    <t>Customer Location</t>
  </si>
  <si>
    <t>Customer Age Group</t>
  </si>
  <si>
    <t>Supplier ID</t>
  </si>
  <si>
    <t>Stock Level</t>
  </si>
  <si>
    <t>Tax Rate</t>
  </si>
  <si>
    <t>Discount</t>
  </si>
  <si>
    <t>Price</t>
  </si>
  <si>
    <t>Category</t>
  </si>
  <si>
    <t>Product Name</t>
  </si>
  <si>
    <t>Product ID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</si>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</sst>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2" applyNumberFormat="0" applyAlignment="0" applyProtection="0"/>
  </cellStyleXfs>
  <cellXfs count="4">
    <xf numFmtId="0" fontId="0" fillId="0" borderId="0" xfId="0"/>
    <xf numFmtId="0" fontId="1" fillId="2" borderId="0" xfId="1"/>
    <xf numFmtId="0" fontId="2" fillId="3" borderId="1" xfId="2"/>
    <xf numFmtId="0" fontId="3" fillId="4" borderId="2" xfId="3"/>
  </cellXfs>
  <cellStyles count="4">
    <cellStyle name="Calculation" xfId="2" builtinId="22"/>
    <cellStyle name="Check Cell" xfId="3" builtinId="23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8ECCD7-9A00-4538-93A3-0B0D44678714}" name="Table1" displayName="Table1" ref="A1:Q44" totalsRowShown="0">
  <autoFilter ref="A1:Q44" xr:uid="{F78ECCD7-9A00-4538-93A3-0B0D44678714}"/>
  <tableColumns count="17">
    <tableColumn id="1" xr3:uid="{4F8D7901-4A39-4B6D-AE2C-31FAE3E6731D}" name="Product ID"/>
    <tableColumn id="2" xr3:uid="{828D11EB-AD07-4D32-92A6-D77FC1A6EDB2}" name="Product Name"/>
    <tableColumn id="3" xr3:uid="{9A75A514-B103-4F25-8748-D26297029050}" name="Category"/>
    <tableColumn id="4" xr3:uid="{11FC370C-4011-40C6-80A8-FED14D990175}" name="Price"/>
    <tableColumn id="5" xr3:uid="{DD4273F3-3A94-4498-96EC-DD5071EDEAC8}" name="Discount"/>
    <tableColumn id="6" xr3:uid="{89142DB0-5CD5-4A01-8B56-256D5DC39DAE}" name="Tax Rate"/>
    <tableColumn id="7" xr3:uid="{2C81B4AE-0AAF-4F1E-A41D-641C3B9B1433}" name="Stock Level"/>
    <tableColumn id="8" xr3:uid="{193738C2-AD53-4D12-8A4C-EE5F268FCFFC}" name="Supplier ID"/>
    <tableColumn id="9" xr3:uid="{B924E917-3C12-4AD0-85A2-52332CE83A80}" name="Customer Age Group"/>
    <tableColumn id="10" xr3:uid="{B8CF0040-1FC9-4032-9B56-4E6F36AFC66D}" name="Customer Location"/>
    <tableColumn id="11" xr3:uid="{4530C2D2-98F6-45FE-8103-7EE8E535DA48}" name="Customer Gender"/>
    <tableColumn id="12" xr3:uid="{29690518-C92A-4954-86C9-AC016608B50B}" name="Shipping Cost"/>
    <tableColumn id="13" xr3:uid="{454FDF6F-481F-4FF1-A0A1-06F2098E1944}" name="Shipping Method"/>
    <tableColumn id="14" xr3:uid="{20DB9EA6-006B-451C-B4C1-C7EA43161215}" name="Return Rate"/>
    <tableColumn id="15" xr3:uid="{5CBF4599-C5CA-4EE2-AC6D-42E6AEC01493}" name="Seasonality"/>
    <tableColumn id="16" xr3:uid="{0D4B5D52-D6F4-4752-A0D8-32B5C63905E5}" name="Popularity Index"/>
    <tableColumn id="17" xr3:uid="{C2610EC0-DD08-456C-A102-6EEBE82CB5C4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00C5B-8AD4-4E09-8A19-16D0F78DFD76}">
  <dimension ref="A1:AH40"/>
  <sheetViews>
    <sheetView tabSelected="1" workbookViewId="0">
      <selection sqref="A1:Q44"/>
    </sheetView>
  </sheetViews>
  <sheetFormatPr defaultRowHeight="15" x14ac:dyDescent="0.25"/>
  <cols>
    <col min="1" max="1" width="12.28515625" customWidth="1"/>
    <col min="2" max="2" width="15.7109375" customWidth="1"/>
    <col min="3" max="3" width="11" customWidth="1"/>
    <col min="5" max="5" width="10.85546875" customWidth="1"/>
    <col min="6" max="6" width="10.5703125" customWidth="1"/>
    <col min="7" max="7" width="13" customWidth="1"/>
    <col min="8" max="8" width="12.85546875" customWidth="1"/>
    <col min="9" max="9" width="21.5703125" customWidth="1"/>
    <col min="10" max="10" width="19.5703125" customWidth="1"/>
    <col min="11" max="11" width="18.85546875" customWidth="1"/>
    <col min="12" max="12" width="15.140625" customWidth="1"/>
    <col min="13" max="13" width="18.42578125" customWidth="1"/>
    <col min="14" max="14" width="13.5703125" customWidth="1"/>
    <col min="15" max="15" width="13.28515625" customWidth="1"/>
    <col min="16" max="16" width="17.7109375" customWidth="1"/>
    <col min="17" max="17" width="11" customWidth="1"/>
  </cols>
  <sheetData>
    <row r="1" spans="1:34" x14ac:dyDescent="0.25">
      <c r="A1" t="s">
        <v>161</v>
      </c>
      <c r="B1" t="s">
        <v>160</v>
      </c>
      <c r="C1" t="s">
        <v>159</v>
      </c>
      <c r="D1" t="s">
        <v>158</v>
      </c>
      <c r="E1" t="s">
        <v>157</v>
      </c>
      <c r="F1" t="s">
        <v>156</v>
      </c>
      <c r="G1" t="s">
        <v>155</v>
      </c>
      <c r="H1" t="s">
        <v>154</v>
      </c>
      <c r="I1" t="s">
        <v>153</v>
      </c>
      <c r="J1" t="s">
        <v>152</v>
      </c>
      <c r="K1" t="s">
        <v>151</v>
      </c>
      <c r="L1" t="s">
        <v>150</v>
      </c>
      <c r="M1" t="s">
        <v>149</v>
      </c>
      <c r="N1" t="s">
        <v>148</v>
      </c>
      <c r="O1" t="s">
        <v>147</v>
      </c>
      <c r="P1" t="s">
        <v>146</v>
      </c>
      <c r="Q1" t="s">
        <v>162</v>
      </c>
    </row>
    <row r="2" spans="1:34" x14ac:dyDescent="0.25">
      <c r="A2" t="s">
        <v>145</v>
      </c>
      <c r="B2" t="s">
        <v>144</v>
      </c>
      <c r="C2" t="s">
        <v>12</v>
      </c>
      <c r="D2">
        <v>53.85</v>
      </c>
      <c r="E2">
        <v>5</v>
      </c>
      <c r="F2">
        <v>15</v>
      </c>
      <c r="G2">
        <v>150</v>
      </c>
      <c r="H2" t="s">
        <v>143</v>
      </c>
      <c r="I2" t="s">
        <v>4</v>
      </c>
      <c r="J2" t="s">
        <v>42</v>
      </c>
      <c r="K2" t="s">
        <v>46</v>
      </c>
      <c r="L2">
        <v>23.32</v>
      </c>
      <c r="M2" t="s">
        <v>1</v>
      </c>
      <c r="N2">
        <v>4.49</v>
      </c>
      <c r="O2" t="s">
        <v>0</v>
      </c>
      <c r="P2">
        <v>56</v>
      </c>
    </row>
    <row r="3" spans="1:34" x14ac:dyDescent="0.25">
      <c r="A3" t="s">
        <v>142</v>
      </c>
      <c r="B3" t="s">
        <v>135</v>
      </c>
      <c r="C3" t="s">
        <v>39</v>
      </c>
      <c r="D3">
        <v>761.26</v>
      </c>
      <c r="E3">
        <v>10</v>
      </c>
      <c r="F3">
        <v>15</v>
      </c>
      <c r="G3">
        <v>224</v>
      </c>
      <c r="H3" t="s">
        <v>141</v>
      </c>
      <c r="I3" t="s">
        <v>10</v>
      </c>
      <c r="J3" t="s">
        <v>94</v>
      </c>
      <c r="K3" t="s">
        <v>17</v>
      </c>
      <c r="L3">
        <v>20.88</v>
      </c>
      <c r="M3" t="s">
        <v>28</v>
      </c>
      <c r="N3">
        <v>16.11</v>
      </c>
      <c r="O3" t="s">
        <v>15</v>
      </c>
      <c r="P3">
        <v>79</v>
      </c>
    </row>
    <row r="4" spans="1:34" x14ac:dyDescent="0.25">
      <c r="A4" t="s">
        <v>140</v>
      </c>
      <c r="B4" t="s">
        <v>36</v>
      </c>
      <c r="C4" t="s">
        <v>35</v>
      </c>
      <c r="D4">
        <v>1756.76</v>
      </c>
      <c r="E4">
        <v>5</v>
      </c>
      <c r="F4">
        <v>8</v>
      </c>
      <c r="G4">
        <v>468</v>
      </c>
      <c r="H4" t="s">
        <v>139</v>
      </c>
      <c r="I4" t="s">
        <v>10</v>
      </c>
      <c r="J4" t="s">
        <v>23</v>
      </c>
      <c r="K4" t="s">
        <v>2</v>
      </c>
      <c r="L4">
        <v>16.43</v>
      </c>
      <c r="M4" t="s">
        <v>1</v>
      </c>
      <c r="N4">
        <v>4.93</v>
      </c>
      <c r="O4" t="s">
        <v>15</v>
      </c>
      <c r="P4">
        <v>40</v>
      </c>
    </row>
    <row r="5" spans="1:34" x14ac:dyDescent="0.25">
      <c r="A5" t="s">
        <v>138</v>
      </c>
      <c r="B5" t="s">
        <v>59</v>
      </c>
      <c r="C5" t="s">
        <v>6</v>
      </c>
      <c r="D5">
        <v>295.24</v>
      </c>
      <c r="E5">
        <v>10</v>
      </c>
      <c r="F5">
        <v>15</v>
      </c>
      <c r="G5">
        <v>25</v>
      </c>
      <c r="H5" t="s">
        <v>137</v>
      </c>
      <c r="I5" t="s">
        <v>19</v>
      </c>
      <c r="J5" t="s">
        <v>9</v>
      </c>
      <c r="K5" t="s">
        <v>17</v>
      </c>
      <c r="L5">
        <v>27.49</v>
      </c>
      <c r="M5" t="s">
        <v>1</v>
      </c>
      <c r="N5">
        <v>1.31</v>
      </c>
      <c r="O5" t="s">
        <v>15</v>
      </c>
      <c r="P5">
        <v>93</v>
      </c>
    </row>
    <row r="6" spans="1:34" x14ac:dyDescent="0.25">
      <c r="A6" t="s">
        <v>136</v>
      </c>
      <c r="B6" t="s">
        <v>135</v>
      </c>
      <c r="C6" t="s">
        <v>39</v>
      </c>
      <c r="D6">
        <v>832</v>
      </c>
      <c r="E6">
        <v>10</v>
      </c>
      <c r="F6">
        <v>12</v>
      </c>
      <c r="G6">
        <v>340</v>
      </c>
      <c r="H6" t="s">
        <v>134</v>
      </c>
      <c r="I6" t="s">
        <v>48</v>
      </c>
      <c r="J6" t="s">
        <v>23</v>
      </c>
      <c r="K6" t="s">
        <v>46</v>
      </c>
      <c r="L6">
        <v>45.93</v>
      </c>
      <c r="M6" t="s">
        <v>28</v>
      </c>
      <c r="N6">
        <v>4.37</v>
      </c>
      <c r="O6" t="s">
        <v>15</v>
      </c>
      <c r="P6">
        <v>56</v>
      </c>
    </row>
    <row r="7" spans="1:34" x14ac:dyDescent="0.25">
      <c r="A7" t="s">
        <v>133</v>
      </c>
      <c r="B7" t="s">
        <v>132</v>
      </c>
      <c r="C7" t="s">
        <v>6</v>
      </c>
      <c r="D7">
        <v>584.19000000000005</v>
      </c>
      <c r="E7">
        <v>15</v>
      </c>
      <c r="F7">
        <v>8</v>
      </c>
      <c r="G7">
        <v>204</v>
      </c>
      <c r="H7" t="s">
        <v>131</v>
      </c>
      <c r="I7" t="s">
        <v>33</v>
      </c>
      <c r="J7" t="s">
        <v>29</v>
      </c>
      <c r="K7" t="s">
        <v>17</v>
      </c>
      <c r="L7">
        <v>40.119999999999997</v>
      </c>
      <c r="M7" t="s">
        <v>16</v>
      </c>
      <c r="N7">
        <v>19.03</v>
      </c>
      <c r="O7" t="s">
        <v>15</v>
      </c>
      <c r="P7">
        <v>91</v>
      </c>
      <c r="S7" s="2" t="s">
        <v>130</v>
      </c>
      <c r="U7" s="2" t="s">
        <v>129</v>
      </c>
      <c r="W7" s="2" t="s">
        <v>128</v>
      </c>
      <c r="Y7" s="2" t="s">
        <v>127</v>
      </c>
      <c r="AA7" s="2" t="s">
        <v>126</v>
      </c>
      <c r="AC7" s="2" t="s">
        <v>125</v>
      </c>
      <c r="AF7" s="2" t="s">
        <v>124</v>
      </c>
    </row>
    <row r="8" spans="1:34" x14ac:dyDescent="0.25">
      <c r="A8" t="s">
        <v>123</v>
      </c>
      <c r="B8" t="s">
        <v>122</v>
      </c>
      <c r="C8" t="s">
        <v>35</v>
      </c>
      <c r="D8">
        <v>1343.95</v>
      </c>
      <c r="E8">
        <v>0</v>
      </c>
      <c r="F8">
        <v>10</v>
      </c>
      <c r="G8">
        <v>493</v>
      </c>
      <c r="H8" t="s">
        <v>121</v>
      </c>
      <c r="I8" t="s">
        <v>19</v>
      </c>
      <c r="J8" t="s">
        <v>3</v>
      </c>
      <c r="K8" t="s">
        <v>17</v>
      </c>
      <c r="L8">
        <v>35.909999999999997</v>
      </c>
      <c r="M8" t="s">
        <v>28</v>
      </c>
      <c r="N8">
        <v>17.73</v>
      </c>
      <c r="O8" t="s">
        <v>0</v>
      </c>
      <c r="P8">
        <v>41</v>
      </c>
      <c r="S8">
        <f>PRODUCT(D2,E2)</f>
        <v>269.25</v>
      </c>
      <c r="U8">
        <f>MOD(D2,E2)</f>
        <v>3.8500000000000014</v>
      </c>
      <c r="W8">
        <f>SQRT(E2)</f>
        <v>2.2360679774997898</v>
      </c>
      <c r="Y8">
        <f>FACT(N2)</f>
        <v>24</v>
      </c>
      <c r="AA8">
        <f>ROUNDUP(D2,0)</f>
        <v>54</v>
      </c>
      <c r="AC8">
        <f>ROUNDDOWN(L2,0)</f>
        <v>23</v>
      </c>
      <c r="AE8" s="1" t="s">
        <v>16</v>
      </c>
      <c r="AF8">
        <f>SUMIF(M2:M31,AE8,L2:L31)</f>
        <v>265.18</v>
      </c>
    </row>
    <row r="9" spans="1:34" x14ac:dyDescent="0.25">
      <c r="A9" t="s">
        <v>120</v>
      </c>
      <c r="B9" t="s">
        <v>119</v>
      </c>
      <c r="C9" t="s">
        <v>25</v>
      </c>
      <c r="D9">
        <v>1873.52</v>
      </c>
      <c r="E9">
        <v>0</v>
      </c>
      <c r="F9">
        <v>15</v>
      </c>
      <c r="G9">
        <v>349</v>
      </c>
      <c r="H9" t="s">
        <v>118</v>
      </c>
      <c r="I9" t="s">
        <v>19</v>
      </c>
      <c r="J9" t="s">
        <v>47</v>
      </c>
      <c r="K9" t="s">
        <v>46</v>
      </c>
      <c r="L9">
        <v>46.42</v>
      </c>
      <c r="M9" t="s">
        <v>1</v>
      </c>
      <c r="N9">
        <v>4.79</v>
      </c>
      <c r="O9" t="s">
        <v>15</v>
      </c>
      <c r="P9">
        <v>60</v>
      </c>
      <c r="S9">
        <f>PRODUCT(D3,E3)</f>
        <v>7612.6</v>
      </c>
      <c r="U9">
        <f>MOD(D3,E3)</f>
        <v>1.2599999999999909</v>
      </c>
      <c r="W9">
        <f>SQRT(E3)</f>
        <v>3.1622776601683795</v>
      </c>
      <c r="Y9">
        <f>FACT(N3)</f>
        <v>20922789888000</v>
      </c>
      <c r="AA9">
        <f>ROUNDUP(D3,0)</f>
        <v>762</v>
      </c>
      <c r="AC9">
        <f>ROUNDDOWN(L3,0)</f>
        <v>20</v>
      </c>
      <c r="AE9" s="1" t="s">
        <v>1</v>
      </c>
      <c r="AF9">
        <f>SUMIF(M2:M31,AE9,L2:L31)</f>
        <v>275.54000000000002</v>
      </c>
    </row>
    <row r="10" spans="1:34" x14ac:dyDescent="0.25">
      <c r="A10" t="s">
        <v>117</v>
      </c>
      <c r="B10" t="s">
        <v>103</v>
      </c>
      <c r="C10" t="s">
        <v>6</v>
      </c>
      <c r="D10">
        <v>1586.65</v>
      </c>
      <c r="E10">
        <v>25</v>
      </c>
      <c r="F10">
        <v>5</v>
      </c>
      <c r="G10">
        <v>237</v>
      </c>
      <c r="H10" t="s">
        <v>116</v>
      </c>
      <c r="I10" t="s">
        <v>4</v>
      </c>
      <c r="J10" t="s">
        <v>52</v>
      </c>
      <c r="K10" t="s">
        <v>46</v>
      </c>
      <c r="L10">
        <v>33.1</v>
      </c>
      <c r="M10" t="s">
        <v>16</v>
      </c>
      <c r="N10">
        <v>2.5499999999999998</v>
      </c>
      <c r="O10" t="s">
        <v>0</v>
      </c>
      <c r="P10">
        <v>90</v>
      </c>
      <c r="S10">
        <f>PRODUCT(D4,E4)</f>
        <v>8783.7999999999993</v>
      </c>
      <c r="U10">
        <f>MOD(D4,E4)</f>
        <v>1.7599999999999909</v>
      </c>
      <c r="W10">
        <f>SQRT(E4)</f>
        <v>2.2360679774997898</v>
      </c>
      <c r="Y10">
        <f>FACT(N4)</f>
        <v>24</v>
      </c>
      <c r="AA10">
        <f>ROUNDUP(D4,0)</f>
        <v>1757</v>
      </c>
      <c r="AC10">
        <f>ROUNDDOWN(L4,0)</f>
        <v>16</v>
      </c>
      <c r="AE10" s="1" t="s">
        <v>28</v>
      </c>
      <c r="AF10">
        <f>SUMIF(M2:M31,AE10,L2:L31)</f>
        <v>207.43</v>
      </c>
    </row>
    <row r="11" spans="1:34" x14ac:dyDescent="0.25">
      <c r="A11" t="s">
        <v>115</v>
      </c>
      <c r="B11" t="s">
        <v>114</v>
      </c>
      <c r="C11" t="s">
        <v>35</v>
      </c>
      <c r="D11">
        <v>1975.69</v>
      </c>
      <c r="E11">
        <v>20</v>
      </c>
      <c r="F11">
        <v>8</v>
      </c>
      <c r="G11">
        <v>132</v>
      </c>
      <c r="H11" t="s">
        <v>113</v>
      </c>
      <c r="I11" t="s">
        <v>19</v>
      </c>
      <c r="J11" t="s">
        <v>42</v>
      </c>
      <c r="K11" t="s">
        <v>17</v>
      </c>
      <c r="L11">
        <v>5.25</v>
      </c>
      <c r="M11" t="s">
        <v>28</v>
      </c>
      <c r="N11">
        <v>16.5</v>
      </c>
      <c r="O11" t="s">
        <v>0</v>
      </c>
      <c r="P11">
        <v>96</v>
      </c>
      <c r="S11">
        <f>PRODUCT(D5,E5)</f>
        <v>2952.4</v>
      </c>
      <c r="U11">
        <f>MOD(D5,E5)</f>
        <v>5.2400000000000091</v>
      </c>
      <c r="W11">
        <f>SQRT(E5)</f>
        <v>3.1622776601683795</v>
      </c>
      <c r="Y11">
        <f>FACT(N5)</f>
        <v>1</v>
      </c>
      <c r="AA11">
        <f>ROUNDUP(D5,0)</f>
        <v>296</v>
      </c>
      <c r="AC11">
        <f>ROUNDDOWN(L5,0)</f>
        <v>27</v>
      </c>
    </row>
    <row r="12" spans="1:34" x14ac:dyDescent="0.25">
      <c r="A12" t="s">
        <v>112</v>
      </c>
      <c r="B12" t="s">
        <v>80</v>
      </c>
      <c r="C12" t="s">
        <v>6</v>
      </c>
      <c r="D12">
        <v>1657.73</v>
      </c>
      <c r="E12">
        <v>15</v>
      </c>
      <c r="F12">
        <v>10</v>
      </c>
      <c r="G12">
        <v>300</v>
      </c>
      <c r="H12" t="s">
        <v>111</v>
      </c>
      <c r="I12" t="s">
        <v>33</v>
      </c>
      <c r="J12" t="s">
        <v>94</v>
      </c>
      <c r="K12" t="s">
        <v>17</v>
      </c>
      <c r="L12">
        <v>28.99</v>
      </c>
      <c r="M12" t="s">
        <v>16</v>
      </c>
      <c r="N12">
        <v>10.51</v>
      </c>
      <c r="O12" t="s">
        <v>15</v>
      </c>
      <c r="P12">
        <v>36</v>
      </c>
      <c r="S12">
        <f>PRODUCT(D6,E6)</f>
        <v>8320</v>
      </c>
      <c r="U12">
        <f>MOD(D6,E6)</f>
        <v>2</v>
      </c>
      <c r="W12">
        <f>SQRT(E6)</f>
        <v>3.1622776601683795</v>
      </c>
      <c r="Y12">
        <f>FACT(N6)</f>
        <v>24</v>
      </c>
      <c r="AA12">
        <f>ROUNDUP(D6,0)</f>
        <v>832</v>
      </c>
      <c r="AC12">
        <f>ROUNDDOWN(L6,0)</f>
        <v>45</v>
      </c>
    </row>
    <row r="13" spans="1:34" x14ac:dyDescent="0.25">
      <c r="A13" t="s">
        <v>110</v>
      </c>
      <c r="B13" t="s">
        <v>103</v>
      </c>
      <c r="C13" t="s">
        <v>6</v>
      </c>
      <c r="D13">
        <v>395.42</v>
      </c>
      <c r="E13">
        <v>5</v>
      </c>
      <c r="F13">
        <v>12</v>
      </c>
      <c r="G13">
        <v>335</v>
      </c>
      <c r="H13" t="s">
        <v>109</v>
      </c>
      <c r="I13" t="s">
        <v>48</v>
      </c>
      <c r="J13" t="s">
        <v>64</v>
      </c>
      <c r="K13" t="s">
        <v>17</v>
      </c>
      <c r="L13">
        <v>3.35</v>
      </c>
      <c r="M13" t="s">
        <v>28</v>
      </c>
      <c r="N13">
        <v>17.12</v>
      </c>
      <c r="O13" t="s">
        <v>15</v>
      </c>
      <c r="P13">
        <v>66</v>
      </c>
      <c r="S13">
        <f>PRODUCT(D7,E7)</f>
        <v>8762.85</v>
      </c>
      <c r="U13">
        <f>MOD(D7,E7)</f>
        <v>14.190000000000055</v>
      </c>
      <c r="W13">
        <f>SQRT(E7)</f>
        <v>3.872983346207417</v>
      </c>
      <c r="Y13">
        <f>FACT(N7)</f>
        <v>1.21645100408832E+17</v>
      </c>
      <c r="AA13">
        <f>ROUNDUP(D7,0)</f>
        <v>585</v>
      </c>
      <c r="AC13">
        <f>ROUNDDOWN(L7,0)</f>
        <v>40</v>
      </c>
    </row>
    <row r="14" spans="1:34" ht="15.75" thickBot="1" x14ac:dyDescent="0.3">
      <c r="A14" t="s">
        <v>108</v>
      </c>
      <c r="B14" t="s">
        <v>107</v>
      </c>
      <c r="C14" t="s">
        <v>39</v>
      </c>
      <c r="D14">
        <v>1915.09</v>
      </c>
      <c r="E14">
        <v>20</v>
      </c>
      <c r="F14">
        <v>8</v>
      </c>
      <c r="G14">
        <v>332</v>
      </c>
      <c r="H14" t="s">
        <v>106</v>
      </c>
      <c r="I14" t="s">
        <v>4</v>
      </c>
      <c r="J14" t="s">
        <v>29</v>
      </c>
      <c r="K14" t="s">
        <v>2</v>
      </c>
      <c r="L14">
        <v>15.14</v>
      </c>
      <c r="M14" t="s">
        <v>1</v>
      </c>
      <c r="N14">
        <v>3.5</v>
      </c>
      <c r="O14" t="s">
        <v>15</v>
      </c>
      <c r="P14">
        <v>57</v>
      </c>
      <c r="S14">
        <f>PRODUCT(D8,E8)</f>
        <v>0</v>
      </c>
      <c r="U14" t="e">
        <f>MOD(D8,E8)</f>
        <v>#DIV/0!</v>
      </c>
      <c r="W14">
        <f>SQRT(E8)</f>
        <v>0</v>
      </c>
      <c r="Y14">
        <f>FACT(N8)</f>
        <v>355687428096000</v>
      </c>
      <c r="AA14">
        <f>ROUNDUP(D8,0)</f>
        <v>1344</v>
      </c>
      <c r="AC14">
        <f>ROUNDDOWN(L8,0)</f>
        <v>35</v>
      </c>
      <c r="AF14" s="2" t="s">
        <v>105</v>
      </c>
    </row>
    <row r="15" spans="1:34" ht="16.5" thickTop="1" thickBot="1" x14ac:dyDescent="0.3">
      <c r="A15" t="s">
        <v>104</v>
      </c>
      <c r="B15" t="s">
        <v>103</v>
      </c>
      <c r="C15" t="s">
        <v>6</v>
      </c>
      <c r="D15">
        <v>1345.42</v>
      </c>
      <c r="E15">
        <v>15</v>
      </c>
      <c r="F15">
        <v>15</v>
      </c>
      <c r="G15">
        <v>150</v>
      </c>
      <c r="H15" t="s">
        <v>102</v>
      </c>
      <c r="I15" t="s">
        <v>48</v>
      </c>
      <c r="J15" t="s">
        <v>52</v>
      </c>
      <c r="K15" t="s">
        <v>2</v>
      </c>
      <c r="L15">
        <v>14.25</v>
      </c>
      <c r="M15" t="s">
        <v>1</v>
      </c>
      <c r="N15">
        <v>19.77</v>
      </c>
      <c r="O15" t="s">
        <v>0</v>
      </c>
      <c r="P15">
        <v>35</v>
      </c>
      <c r="S15">
        <f>PRODUCT(D9,E9)</f>
        <v>0</v>
      </c>
      <c r="U15" t="e">
        <f>MOD(D9,E9)</f>
        <v>#DIV/0!</v>
      </c>
      <c r="W15">
        <f>SQRT(E9)</f>
        <v>0</v>
      </c>
      <c r="Y15">
        <f>FACT(N9)</f>
        <v>24</v>
      </c>
      <c r="AA15">
        <f>ROUNDUP(D9,0)</f>
        <v>1874</v>
      </c>
      <c r="AC15">
        <f>ROUNDDOWN(L9,0)</f>
        <v>46</v>
      </c>
      <c r="AE15" s="1" t="s">
        <v>16</v>
      </c>
      <c r="AF15">
        <f>SUMIFS(L2:L31,M2:M31,AE15,K2:K31,"Male")</f>
        <v>111.82000000000001</v>
      </c>
      <c r="AH15" s="3" t="s">
        <v>17</v>
      </c>
    </row>
    <row r="16" spans="1:34" ht="15.75" thickTop="1" x14ac:dyDescent="0.25">
      <c r="A16" t="s">
        <v>101</v>
      </c>
      <c r="B16" t="s">
        <v>100</v>
      </c>
      <c r="C16" t="s">
        <v>35</v>
      </c>
      <c r="D16">
        <v>302.74</v>
      </c>
      <c r="E16">
        <v>25</v>
      </c>
      <c r="F16">
        <v>12</v>
      </c>
      <c r="G16">
        <v>456</v>
      </c>
      <c r="H16" t="s">
        <v>99</v>
      </c>
      <c r="I16" t="s">
        <v>33</v>
      </c>
      <c r="J16" t="s">
        <v>98</v>
      </c>
      <c r="K16" t="s">
        <v>17</v>
      </c>
      <c r="L16">
        <v>44.1</v>
      </c>
      <c r="M16" t="s">
        <v>1</v>
      </c>
      <c r="N16">
        <v>7.05</v>
      </c>
      <c r="O16" t="s">
        <v>15</v>
      </c>
      <c r="P16">
        <v>3</v>
      </c>
      <c r="S16">
        <f>PRODUCT(D10,E10)</f>
        <v>39666.25</v>
      </c>
      <c r="U16">
        <f>MOD(D10,E10)</f>
        <v>11.650000000000091</v>
      </c>
      <c r="W16">
        <f>SQRT(E10)</f>
        <v>5</v>
      </c>
      <c r="Y16">
        <f>FACT(N10)</f>
        <v>2</v>
      </c>
      <c r="AA16">
        <f>ROUNDUP(D10,0)</f>
        <v>1587</v>
      </c>
      <c r="AC16">
        <f>ROUNDDOWN(L10,0)</f>
        <v>33</v>
      </c>
      <c r="AE16" s="1" t="s">
        <v>1</v>
      </c>
      <c r="AF16">
        <f>SUMIFS(L3:L32,M3:M32,AE16,K3:K32,"Male")</f>
        <v>88.7</v>
      </c>
    </row>
    <row r="17" spans="1:32" x14ac:dyDescent="0.25">
      <c r="A17" t="s">
        <v>97</v>
      </c>
      <c r="B17" t="s">
        <v>96</v>
      </c>
      <c r="C17" t="s">
        <v>25</v>
      </c>
      <c r="D17">
        <v>204.73</v>
      </c>
      <c r="E17">
        <v>5</v>
      </c>
      <c r="F17">
        <v>15</v>
      </c>
      <c r="G17">
        <v>112</v>
      </c>
      <c r="H17" t="s">
        <v>95</v>
      </c>
      <c r="I17" t="s">
        <v>10</v>
      </c>
      <c r="J17" t="s">
        <v>94</v>
      </c>
      <c r="K17" t="s">
        <v>17</v>
      </c>
      <c r="L17">
        <v>10.029999999999999</v>
      </c>
      <c r="M17" t="s">
        <v>28</v>
      </c>
      <c r="N17">
        <v>17.739999999999998</v>
      </c>
      <c r="O17" t="s">
        <v>15</v>
      </c>
      <c r="P17">
        <v>27</v>
      </c>
      <c r="S17">
        <f>PRODUCT(D11,E11)</f>
        <v>39513.800000000003</v>
      </c>
      <c r="U17">
        <f>MOD(D11,E11)</f>
        <v>15.690000000000055</v>
      </c>
      <c r="W17">
        <f>SQRT(E11)</f>
        <v>4.4721359549995796</v>
      </c>
      <c r="Y17">
        <f>FACT(N11)</f>
        <v>20922789888000</v>
      </c>
      <c r="AA17">
        <f>ROUNDUP(D11,0)</f>
        <v>1976</v>
      </c>
      <c r="AC17">
        <f>ROUNDDOWN(L11,0)</f>
        <v>5</v>
      </c>
      <c r="AE17" s="1" t="s">
        <v>28</v>
      </c>
      <c r="AF17">
        <f>SUMIFS(L4:L33,M4:M33,AE17,K4:K33,"Male")</f>
        <v>130.32999999999998</v>
      </c>
    </row>
    <row r="18" spans="1:32" x14ac:dyDescent="0.25">
      <c r="A18" t="s">
        <v>93</v>
      </c>
      <c r="B18" t="s">
        <v>87</v>
      </c>
      <c r="C18" t="s">
        <v>35</v>
      </c>
      <c r="D18">
        <v>1961.39</v>
      </c>
      <c r="E18">
        <v>25</v>
      </c>
      <c r="F18">
        <v>15</v>
      </c>
      <c r="G18">
        <v>420</v>
      </c>
      <c r="H18" t="s">
        <v>92</v>
      </c>
      <c r="I18" t="s">
        <v>4</v>
      </c>
      <c r="J18" t="s">
        <v>75</v>
      </c>
      <c r="K18" t="s">
        <v>2</v>
      </c>
      <c r="L18">
        <v>1.68</v>
      </c>
      <c r="M18" t="s">
        <v>28</v>
      </c>
      <c r="N18">
        <v>11.08</v>
      </c>
      <c r="O18" t="s">
        <v>15</v>
      </c>
      <c r="P18">
        <v>92</v>
      </c>
      <c r="S18">
        <f>PRODUCT(D12,E12)</f>
        <v>24865.95</v>
      </c>
      <c r="U18">
        <f>MOD(D12,E12)</f>
        <v>7.7300000000000182</v>
      </c>
      <c r="W18">
        <f>SQRT(E12)</f>
        <v>3.872983346207417</v>
      </c>
      <c r="Y18">
        <f>FACT(N12)</f>
        <v>3628800</v>
      </c>
      <c r="AA18">
        <f>ROUNDUP(D12,0)</f>
        <v>1658</v>
      </c>
      <c r="AC18">
        <f>ROUNDDOWN(L12,0)</f>
        <v>28</v>
      </c>
    </row>
    <row r="19" spans="1:32" x14ac:dyDescent="0.25">
      <c r="A19" t="s">
        <v>91</v>
      </c>
      <c r="B19" t="s">
        <v>7</v>
      </c>
      <c r="C19" t="s">
        <v>6</v>
      </c>
      <c r="D19">
        <v>812.75</v>
      </c>
      <c r="E19">
        <v>20</v>
      </c>
      <c r="F19">
        <v>15</v>
      </c>
      <c r="G19">
        <v>180</v>
      </c>
      <c r="H19" t="s">
        <v>90</v>
      </c>
      <c r="I19" t="s">
        <v>4</v>
      </c>
      <c r="J19" t="s">
        <v>89</v>
      </c>
      <c r="K19" t="s">
        <v>2</v>
      </c>
      <c r="L19">
        <v>2.4</v>
      </c>
      <c r="M19" t="s">
        <v>16</v>
      </c>
      <c r="N19">
        <v>10.33</v>
      </c>
      <c r="O19" t="s">
        <v>0</v>
      </c>
      <c r="P19">
        <v>72</v>
      </c>
      <c r="S19">
        <f>PRODUCT(D13,E13)</f>
        <v>1977.1000000000001</v>
      </c>
      <c r="U19">
        <f>MOD(D13,E13)</f>
        <v>0.42000000000001592</v>
      </c>
      <c r="W19">
        <f>SQRT(E13)</f>
        <v>2.2360679774997898</v>
      </c>
      <c r="Y19">
        <f>FACT(N13)</f>
        <v>355687428096000</v>
      </c>
      <c r="AA19">
        <f>ROUNDUP(D13,0)</f>
        <v>396</v>
      </c>
      <c r="AC19">
        <f>ROUNDDOWN(L13,0)</f>
        <v>3</v>
      </c>
    </row>
    <row r="20" spans="1:32" x14ac:dyDescent="0.25">
      <c r="A20" t="s">
        <v>88</v>
      </c>
      <c r="B20" t="s">
        <v>87</v>
      </c>
      <c r="C20" t="s">
        <v>35</v>
      </c>
      <c r="D20">
        <v>713.69</v>
      </c>
      <c r="E20">
        <v>15</v>
      </c>
      <c r="F20">
        <v>10</v>
      </c>
      <c r="G20">
        <v>485</v>
      </c>
      <c r="H20" t="s">
        <v>86</v>
      </c>
      <c r="I20" t="s">
        <v>33</v>
      </c>
      <c r="J20" t="s">
        <v>29</v>
      </c>
      <c r="K20" t="s">
        <v>46</v>
      </c>
      <c r="L20">
        <v>36.33</v>
      </c>
      <c r="M20" t="s">
        <v>28</v>
      </c>
      <c r="N20">
        <v>1.95</v>
      </c>
      <c r="O20" t="s">
        <v>0</v>
      </c>
      <c r="P20">
        <v>64</v>
      </c>
      <c r="S20">
        <f>PRODUCT(D14,E14)</f>
        <v>38301.799999999996</v>
      </c>
      <c r="U20">
        <f>MOD(D14,E14)</f>
        <v>15.089999999999918</v>
      </c>
      <c r="W20">
        <f>SQRT(E14)</f>
        <v>4.4721359549995796</v>
      </c>
      <c r="Y20">
        <f>FACT(N14)</f>
        <v>6</v>
      </c>
      <c r="AA20">
        <f>ROUNDUP(D14,0)</f>
        <v>1916</v>
      </c>
      <c r="AC20">
        <f>ROUNDDOWN(L14,0)</f>
        <v>15</v>
      </c>
      <c r="AF20" s="2" t="s">
        <v>85</v>
      </c>
    </row>
    <row r="21" spans="1:32" x14ac:dyDescent="0.25">
      <c r="A21" t="s">
        <v>84</v>
      </c>
      <c r="B21" t="s">
        <v>83</v>
      </c>
      <c r="C21" t="s">
        <v>39</v>
      </c>
      <c r="D21">
        <v>1473.42</v>
      </c>
      <c r="E21">
        <v>0</v>
      </c>
      <c r="F21">
        <v>12</v>
      </c>
      <c r="G21">
        <v>440</v>
      </c>
      <c r="H21" t="s">
        <v>82</v>
      </c>
      <c r="I21" t="s">
        <v>4</v>
      </c>
      <c r="J21" t="s">
        <v>64</v>
      </c>
      <c r="K21" t="s">
        <v>17</v>
      </c>
      <c r="L21">
        <v>20.309999999999999</v>
      </c>
      <c r="M21" t="s">
        <v>16</v>
      </c>
      <c r="N21">
        <v>16.78</v>
      </c>
      <c r="O21" t="s">
        <v>0</v>
      </c>
      <c r="P21">
        <v>98</v>
      </c>
      <c r="S21">
        <f>PRODUCT(D15,E15)</f>
        <v>20181.300000000003</v>
      </c>
      <c r="U21">
        <f>MOD(D15,E15)</f>
        <v>10.420000000000073</v>
      </c>
      <c r="W21">
        <f>SQRT(E15)</f>
        <v>3.872983346207417</v>
      </c>
      <c r="Y21">
        <f>FACT(N15)</f>
        <v>1.21645100408832E+17</v>
      </c>
      <c r="AA21">
        <f>ROUNDUP(D15,0)</f>
        <v>1346</v>
      </c>
      <c r="AC21">
        <f>ROUNDDOWN(L15,0)</f>
        <v>14</v>
      </c>
      <c r="AE21" s="1" t="s">
        <v>16</v>
      </c>
      <c r="AF21">
        <f>AVERAGEIF(M2:M31,AE21,N2:N31)</f>
        <v>10.152222222222223</v>
      </c>
    </row>
    <row r="22" spans="1:32" x14ac:dyDescent="0.25">
      <c r="A22" t="s">
        <v>81</v>
      </c>
      <c r="B22" t="s">
        <v>80</v>
      </c>
      <c r="C22" t="s">
        <v>6</v>
      </c>
      <c r="D22">
        <v>136.09</v>
      </c>
      <c r="E22">
        <v>5</v>
      </c>
      <c r="F22">
        <v>15</v>
      </c>
      <c r="G22">
        <v>137</v>
      </c>
      <c r="H22" t="s">
        <v>79</v>
      </c>
      <c r="I22" t="s">
        <v>33</v>
      </c>
      <c r="J22" t="s">
        <v>56</v>
      </c>
      <c r="K22" t="s">
        <v>2</v>
      </c>
      <c r="L22">
        <v>9.2899999999999991</v>
      </c>
      <c r="M22" t="s">
        <v>1</v>
      </c>
      <c r="N22">
        <v>10.19</v>
      </c>
      <c r="O22" t="s">
        <v>0</v>
      </c>
      <c r="P22">
        <v>97</v>
      </c>
      <c r="S22">
        <f>PRODUCT(D16,E16)</f>
        <v>7568.5</v>
      </c>
      <c r="U22">
        <f>MOD(D16,E16)</f>
        <v>2.7400000000000091</v>
      </c>
      <c r="W22">
        <f>SQRT(E16)</f>
        <v>5</v>
      </c>
      <c r="Y22">
        <f>FACT(N16)</f>
        <v>5040</v>
      </c>
      <c r="AA22">
        <f>ROUNDUP(D16,0)</f>
        <v>303</v>
      </c>
      <c r="AC22">
        <f>ROUNDDOWN(L16,0)</f>
        <v>44</v>
      </c>
      <c r="AE22" s="1" t="s">
        <v>1</v>
      </c>
      <c r="AF22">
        <f>AVERAGEIF(M3:M32,AE22,N3:N32)</f>
        <v>7.7663636363636348</v>
      </c>
    </row>
    <row r="23" spans="1:32" x14ac:dyDescent="0.25">
      <c r="A23" t="s">
        <v>78</v>
      </c>
      <c r="B23" t="s">
        <v>77</v>
      </c>
      <c r="C23" t="s">
        <v>12</v>
      </c>
      <c r="D23">
        <v>100.9</v>
      </c>
      <c r="E23">
        <v>5</v>
      </c>
      <c r="F23">
        <v>5</v>
      </c>
      <c r="G23">
        <v>460</v>
      </c>
      <c r="H23" t="s">
        <v>76</v>
      </c>
      <c r="I23" t="s">
        <v>48</v>
      </c>
      <c r="J23" t="s">
        <v>75</v>
      </c>
      <c r="K23" t="s">
        <v>46</v>
      </c>
      <c r="L23">
        <v>21.4</v>
      </c>
      <c r="M23" t="s">
        <v>28</v>
      </c>
      <c r="N23">
        <v>13.52</v>
      </c>
      <c r="O23" t="s">
        <v>0</v>
      </c>
      <c r="P23">
        <v>42</v>
      </c>
      <c r="S23">
        <f>PRODUCT(D17,E17)</f>
        <v>1023.65</v>
      </c>
      <c r="U23">
        <f>MOD(D17,E17)</f>
        <v>4.7299999999999898</v>
      </c>
      <c r="W23">
        <f>SQRT(E17)</f>
        <v>2.2360679774997898</v>
      </c>
      <c r="Y23">
        <f>FACT(N17)</f>
        <v>355687428096000</v>
      </c>
      <c r="AA23">
        <f>ROUNDUP(D17,0)</f>
        <v>205</v>
      </c>
      <c r="AC23">
        <f>ROUNDDOWN(L17,0)</f>
        <v>10</v>
      </c>
      <c r="AE23" s="1" t="s">
        <v>28</v>
      </c>
      <c r="AF23">
        <f>AVERAGEIF(M4:M33,AE23,N4:N33)</f>
        <v>12.587777777777777</v>
      </c>
    </row>
    <row r="24" spans="1:32" x14ac:dyDescent="0.25">
      <c r="A24" t="s">
        <v>74</v>
      </c>
      <c r="B24" t="s">
        <v>59</v>
      </c>
      <c r="C24" t="s">
        <v>6</v>
      </c>
      <c r="D24">
        <v>1268.8900000000001</v>
      </c>
      <c r="E24">
        <v>10</v>
      </c>
      <c r="F24">
        <v>10</v>
      </c>
      <c r="G24">
        <v>139</v>
      </c>
      <c r="H24" t="s">
        <v>73</v>
      </c>
      <c r="I24" t="s">
        <v>48</v>
      </c>
      <c r="J24" t="s">
        <v>29</v>
      </c>
      <c r="K24" t="s">
        <v>2</v>
      </c>
      <c r="L24">
        <v>25.57</v>
      </c>
      <c r="M24" t="s">
        <v>1</v>
      </c>
      <c r="N24">
        <v>6.63</v>
      </c>
      <c r="O24" t="s">
        <v>0</v>
      </c>
      <c r="P24">
        <v>49</v>
      </c>
      <c r="S24">
        <f>PRODUCT(D18,E18)</f>
        <v>49034.75</v>
      </c>
      <c r="U24">
        <f>MOD(D18,E18)</f>
        <v>11.3900000000001</v>
      </c>
      <c r="W24">
        <f>SQRT(E18)</f>
        <v>5</v>
      </c>
      <c r="Y24">
        <f>FACT(N18)</f>
        <v>39916800</v>
      </c>
      <c r="AA24">
        <f>ROUNDUP(D18,0)</f>
        <v>1962</v>
      </c>
      <c r="AC24">
        <f>ROUNDDOWN(L18,0)</f>
        <v>1</v>
      </c>
    </row>
    <row r="25" spans="1:32" x14ac:dyDescent="0.25">
      <c r="A25" t="s">
        <v>72</v>
      </c>
      <c r="B25" t="s">
        <v>36</v>
      </c>
      <c r="C25" t="s">
        <v>35</v>
      </c>
      <c r="D25">
        <v>72.989999999999995</v>
      </c>
      <c r="E25">
        <v>0</v>
      </c>
      <c r="F25">
        <v>15</v>
      </c>
      <c r="G25">
        <v>31</v>
      </c>
      <c r="H25" t="s">
        <v>71</v>
      </c>
      <c r="I25" t="s">
        <v>4</v>
      </c>
      <c r="J25" t="s">
        <v>18</v>
      </c>
      <c r="K25" t="s">
        <v>46</v>
      </c>
      <c r="L25">
        <v>31.41</v>
      </c>
      <c r="M25" t="s">
        <v>16</v>
      </c>
      <c r="N25">
        <v>8.27</v>
      </c>
      <c r="O25" t="s">
        <v>0</v>
      </c>
      <c r="P25">
        <v>75</v>
      </c>
      <c r="S25">
        <f>PRODUCT(D19,E19)</f>
        <v>16255</v>
      </c>
      <c r="U25">
        <f>MOD(D19,E19)</f>
        <v>12.75</v>
      </c>
      <c r="W25">
        <f>SQRT(E19)</f>
        <v>4.4721359549995796</v>
      </c>
      <c r="Y25">
        <f>FACT(N19)</f>
        <v>3628800</v>
      </c>
      <c r="AA25">
        <f>ROUNDUP(D19,0)</f>
        <v>813</v>
      </c>
      <c r="AC25">
        <f>ROUNDDOWN(L19,0)</f>
        <v>2</v>
      </c>
    </row>
    <row r="26" spans="1:32" x14ac:dyDescent="0.25">
      <c r="A26" t="s">
        <v>70</v>
      </c>
      <c r="B26" t="s">
        <v>54</v>
      </c>
      <c r="C26" t="s">
        <v>12</v>
      </c>
      <c r="D26">
        <v>1767.45</v>
      </c>
      <c r="E26">
        <v>5</v>
      </c>
      <c r="F26">
        <v>15</v>
      </c>
      <c r="G26">
        <v>253</v>
      </c>
      <c r="H26" t="s">
        <v>69</v>
      </c>
      <c r="I26" t="s">
        <v>33</v>
      </c>
      <c r="J26" t="s">
        <v>56</v>
      </c>
      <c r="K26" t="s">
        <v>2</v>
      </c>
      <c r="L26">
        <v>32.96</v>
      </c>
      <c r="M26" t="s">
        <v>1</v>
      </c>
      <c r="N26">
        <v>10.98</v>
      </c>
      <c r="O26" t="s">
        <v>0</v>
      </c>
      <c r="P26">
        <v>52</v>
      </c>
      <c r="S26">
        <f>PRODUCT(D20,E20)</f>
        <v>10705.35</v>
      </c>
      <c r="U26">
        <f>MOD(D20,E20)</f>
        <v>8.6900000000000546</v>
      </c>
      <c r="W26">
        <f>SQRT(E20)</f>
        <v>3.872983346207417</v>
      </c>
      <c r="Y26">
        <f>FACT(N20)</f>
        <v>1</v>
      </c>
      <c r="AA26">
        <f>ROUNDUP(D20,0)</f>
        <v>714</v>
      </c>
      <c r="AC26">
        <f>ROUNDDOWN(L20,0)</f>
        <v>36</v>
      </c>
      <c r="AF26" s="2" t="s">
        <v>68</v>
      </c>
    </row>
    <row r="27" spans="1:32" x14ac:dyDescent="0.25">
      <c r="A27" t="s">
        <v>67</v>
      </c>
      <c r="B27" t="s">
        <v>66</v>
      </c>
      <c r="C27" t="s">
        <v>39</v>
      </c>
      <c r="D27">
        <v>1611.15</v>
      </c>
      <c r="E27">
        <v>0</v>
      </c>
      <c r="F27">
        <v>8</v>
      </c>
      <c r="G27">
        <v>416</v>
      </c>
      <c r="H27" t="s">
        <v>65</v>
      </c>
      <c r="I27" t="s">
        <v>48</v>
      </c>
      <c r="J27" t="s">
        <v>64</v>
      </c>
      <c r="K27" t="s">
        <v>17</v>
      </c>
      <c r="L27">
        <v>44.88</v>
      </c>
      <c r="M27" t="s">
        <v>16</v>
      </c>
      <c r="N27">
        <v>7.81</v>
      </c>
      <c r="O27" t="s">
        <v>0</v>
      </c>
      <c r="P27">
        <v>77</v>
      </c>
      <c r="S27">
        <f>PRODUCT(D21,E21)</f>
        <v>0</v>
      </c>
      <c r="U27" t="e">
        <f>MOD(D21,E21)</f>
        <v>#DIV/0!</v>
      </c>
      <c r="W27">
        <f>SQRT(E21)</f>
        <v>0</v>
      </c>
      <c r="Y27">
        <f>FACT(N21)</f>
        <v>20922789888000</v>
      </c>
      <c r="AA27">
        <f>ROUNDUP(D21,0)</f>
        <v>1474</v>
      </c>
      <c r="AC27">
        <f>ROUNDDOWN(L21,0)</f>
        <v>20</v>
      </c>
      <c r="AE27" s="1" t="s">
        <v>16</v>
      </c>
      <c r="AF27">
        <f>AVERAGEIFS(N2:N31,M2:M31,AE27,K2:K31,$AH$15)</f>
        <v>12.192</v>
      </c>
    </row>
    <row r="28" spans="1:32" x14ac:dyDescent="0.25">
      <c r="A28" t="s">
        <v>63</v>
      </c>
      <c r="B28" t="s">
        <v>62</v>
      </c>
      <c r="C28" t="s">
        <v>35</v>
      </c>
      <c r="D28">
        <v>354.7</v>
      </c>
      <c r="E28">
        <v>25</v>
      </c>
      <c r="F28">
        <v>15</v>
      </c>
      <c r="G28">
        <v>302</v>
      </c>
      <c r="H28" t="s">
        <v>61</v>
      </c>
      <c r="I28" t="s">
        <v>4</v>
      </c>
      <c r="J28" t="s">
        <v>18</v>
      </c>
      <c r="K28" t="s">
        <v>46</v>
      </c>
      <c r="L28">
        <v>47.31</v>
      </c>
      <c r="M28" t="s">
        <v>16</v>
      </c>
      <c r="N28">
        <v>9.26</v>
      </c>
      <c r="O28" t="s">
        <v>0</v>
      </c>
      <c r="P28">
        <v>74</v>
      </c>
      <c r="S28">
        <f>PRODUCT(D22,E22)</f>
        <v>680.45</v>
      </c>
      <c r="U28">
        <f>MOD(D22,E22)</f>
        <v>1.0900000000000034</v>
      </c>
      <c r="W28">
        <f>SQRT(E22)</f>
        <v>2.2360679774997898</v>
      </c>
      <c r="Y28">
        <f>FACT(N22)</f>
        <v>3628800</v>
      </c>
      <c r="AA28">
        <f>ROUNDUP(D22,0)</f>
        <v>137</v>
      </c>
      <c r="AC28">
        <f>ROUNDDOWN(L22,0)</f>
        <v>9</v>
      </c>
      <c r="AE28" s="1" t="s">
        <v>1</v>
      </c>
      <c r="AF28">
        <f>AVERAGEIFS(N3:N32,M3:M32,AE28,K3:K32,$AH$15)</f>
        <v>6.5133333333333328</v>
      </c>
    </row>
    <row r="29" spans="1:32" x14ac:dyDescent="0.25">
      <c r="A29" t="s">
        <v>60</v>
      </c>
      <c r="B29" t="s">
        <v>59</v>
      </c>
      <c r="C29" t="s">
        <v>6</v>
      </c>
      <c r="D29">
        <v>1734.45</v>
      </c>
      <c r="E29">
        <v>10</v>
      </c>
      <c r="F29">
        <v>10</v>
      </c>
      <c r="G29">
        <v>70</v>
      </c>
      <c r="H29" t="s">
        <v>57</v>
      </c>
      <c r="I29" t="s">
        <v>48</v>
      </c>
      <c r="J29" t="s">
        <v>56</v>
      </c>
      <c r="K29" t="s">
        <v>46</v>
      </c>
      <c r="L29">
        <v>26.67</v>
      </c>
      <c r="M29" t="s">
        <v>28</v>
      </c>
      <c r="N29">
        <v>13.28</v>
      </c>
      <c r="O29" t="s">
        <v>15</v>
      </c>
      <c r="P29">
        <v>81</v>
      </c>
      <c r="S29">
        <f>PRODUCT(D23,E23)</f>
        <v>504.5</v>
      </c>
      <c r="U29">
        <f>MOD(D23,E23)</f>
        <v>0.90000000000000568</v>
      </c>
      <c r="W29">
        <f>SQRT(E23)</f>
        <v>2.2360679774997898</v>
      </c>
      <c r="Y29">
        <f>FACT(N23)</f>
        <v>6227020800</v>
      </c>
      <c r="AA29">
        <f>ROUNDUP(D23,0)</f>
        <v>101</v>
      </c>
      <c r="AC29">
        <f>ROUNDDOWN(L23,0)</f>
        <v>21</v>
      </c>
      <c r="AE29" s="1" t="s">
        <v>28</v>
      </c>
      <c r="AF29">
        <f>AVERAGEIFS(N4:N33,M4:M33,AE29,K4:K33,$AH$15)</f>
        <v>17.272500000000001</v>
      </c>
    </row>
    <row r="30" spans="1:32" x14ac:dyDescent="0.25">
      <c r="A30" t="s">
        <v>58</v>
      </c>
      <c r="B30" t="s">
        <v>50</v>
      </c>
      <c r="C30" t="s">
        <v>25</v>
      </c>
      <c r="D30">
        <v>1859.66</v>
      </c>
      <c r="E30">
        <v>5</v>
      </c>
      <c r="F30">
        <v>5</v>
      </c>
      <c r="G30">
        <v>444</v>
      </c>
      <c r="H30" t="s">
        <v>57</v>
      </c>
      <c r="I30" t="s">
        <v>48</v>
      </c>
      <c r="J30" t="s">
        <v>56</v>
      </c>
      <c r="K30" t="s">
        <v>17</v>
      </c>
      <c r="L30">
        <v>20.57</v>
      </c>
      <c r="M30" t="s">
        <v>1</v>
      </c>
      <c r="N30">
        <v>11.18</v>
      </c>
      <c r="O30" t="s">
        <v>15</v>
      </c>
      <c r="P30">
        <v>1</v>
      </c>
      <c r="S30">
        <f>PRODUCT(D24,E24)</f>
        <v>12688.900000000001</v>
      </c>
      <c r="U30">
        <f>MOD(D24,E24)</f>
        <v>8.8900000000001</v>
      </c>
      <c r="W30">
        <f>SQRT(E24)</f>
        <v>3.1622776601683795</v>
      </c>
      <c r="Y30">
        <f>FACT(N24)</f>
        <v>720</v>
      </c>
      <c r="AA30">
        <f>ROUNDUP(D24,0)</f>
        <v>1269</v>
      </c>
      <c r="AC30">
        <f>ROUNDDOWN(L24,0)</f>
        <v>25</v>
      </c>
    </row>
    <row r="31" spans="1:32" x14ac:dyDescent="0.25">
      <c r="A31" t="s">
        <v>55</v>
      </c>
      <c r="B31" t="s">
        <v>54</v>
      </c>
      <c r="C31" t="s">
        <v>12</v>
      </c>
      <c r="D31">
        <v>1701.63</v>
      </c>
      <c r="E31">
        <v>0</v>
      </c>
      <c r="F31">
        <v>8</v>
      </c>
      <c r="G31">
        <v>386</v>
      </c>
      <c r="H31" t="s">
        <v>53</v>
      </c>
      <c r="I31" t="s">
        <v>48</v>
      </c>
      <c r="J31" t="s">
        <v>52</v>
      </c>
      <c r="K31" t="s">
        <v>17</v>
      </c>
      <c r="L31">
        <v>16.66</v>
      </c>
      <c r="M31" t="s">
        <v>16</v>
      </c>
      <c r="N31">
        <v>6.83</v>
      </c>
      <c r="O31" t="s">
        <v>15</v>
      </c>
      <c r="P31">
        <v>12</v>
      </c>
      <c r="S31">
        <f>PRODUCT(D25,E25)</f>
        <v>0</v>
      </c>
      <c r="U31" t="e">
        <f>MOD(D25,E25)</f>
        <v>#DIV/0!</v>
      </c>
      <c r="W31">
        <f>SQRT(E25)</f>
        <v>0</v>
      </c>
      <c r="Y31">
        <f>FACT(N25)</f>
        <v>40320</v>
      </c>
      <c r="AA31">
        <f>ROUNDUP(D25,0)</f>
        <v>73</v>
      </c>
      <c r="AC31">
        <f>ROUNDDOWN(L25,0)</f>
        <v>31</v>
      </c>
    </row>
    <row r="32" spans="1:32" x14ac:dyDescent="0.25">
      <c r="A32" t="s">
        <v>51</v>
      </c>
      <c r="B32" t="s">
        <v>50</v>
      </c>
      <c r="C32" t="s">
        <v>25</v>
      </c>
      <c r="D32">
        <v>1560.44</v>
      </c>
      <c r="E32">
        <v>0</v>
      </c>
      <c r="F32">
        <v>12</v>
      </c>
      <c r="G32">
        <v>341</v>
      </c>
      <c r="H32" t="s">
        <v>49</v>
      </c>
      <c r="I32" t="s">
        <v>48</v>
      </c>
      <c r="J32" t="s">
        <v>47</v>
      </c>
      <c r="K32" t="s">
        <v>46</v>
      </c>
      <c r="L32">
        <v>42.28</v>
      </c>
      <c r="M32" t="s">
        <v>1</v>
      </c>
      <c r="N32">
        <v>5.0999999999999996</v>
      </c>
      <c r="O32" t="s">
        <v>0</v>
      </c>
      <c r="P32">
        <v>74</v>
      </c>
      <c r="S32">
        <f>PRODUCT(D26,E26)</f>
        <v>8837.25</v>
      </c>
      <c r="U32">
        <f>MOD(D26,E26)</f>
        <v>2.4500000000000455</v>
      </c>
      <c r="W32">
        <f>SQRT(E26)</f>
        <v>2.2360679774997898</v>
      </c>
      <c r="Y32">
        <f>FACT(N26)</f>
        <v>3628800</v>
      </c>
      <c r="AA32">
        <f>ROUNDUP(D26,0)</f>
        <v>1768</v>
      </c>
      <c r="AC32">
        <f>ROUNDDOWN(L26,0)</f>
        <v>32</v>
      </c>
    </row>
    <row r="33" spans="1:16" x14ac:dyDescent="0.25">
      <c r="A33" t="s">
        <v>45</v>
      </c>
      <c r="B33" t="s">
        <v>44</v>
      </c>
      <c r="C33" t="s">
        <v>12</v>
      </c>
      <c r="D33">
        <v>693.15</v>
      </c>
      <c r="E33">
        <v>10</v>
      </c>
      <c r="F33">
        <v>8</v>
      </c>
      <c r="G33">
        <v>354</v>
      </c>
      <c r="H33" t="s">
        <v>43</v>
      </c>
      <c r="I33" t="s">
        <v>10</v>
      </c>
      <c r="J33" t="s">
        <v>42</v>
      </c>
      <c r="K33" t="s">
        <v>2</v>
      </c>
      <c r="L33">
        <v>14.21</v>
      </c>
      <c r="M33" t="s">
        <v>16</v>
      </c>
      <c r="N33">
        <v>16.649999999999999</v>
      </c>
      <c r="O33" t="s">
        <v>15</v>
      </c>
      <c r="P33">
        <v>99</v>
      </c>
    </row>
    <row r="34" spans="1:16" x14ac:dyDescent="0.25">
      <c r="A34" t="s">
        <v>41</v>
      </c>
      <c r="B34" t="s">
        <v>40</v>
      </c>
      <c r="C34" t="s">
        <v>39</v>
      </c>
      <c r="D34">
        <v>181.56</v>
      </c>
      <c r="E34">
        <v>25</v>
      </c>
      <c r="F34">
        <v>15</v>
      </c>
      <c r="G34">
        <v>252</v>
      </c>
      <c r="H34" t="s">
        <v>38</v>
      </c>
      <c r="I34" t="s">
        <v>4</v>
      </c>
      <c r="J34" t="s">
        <v>18</v>
      </c>
      <c r="K34" t="s">
        <v>2</v>
      </c>
      <c r="L34">
        <v>26.19</v>
      </c>
      <c r="M34" t="s">
        <v>28</v>
      </c>
      <c r="N34">
        <v>16.04</v>
      </c>
      <c r="O34" t="s">
        <v>0</v>
      </c>
      <c r="P34">
        <v>76</v>
      </c>
    </row>
    <row r="35" spans="1:16" x14ac:dyDescent="0.25">
      <c r="A35" t="s">
        <v>37</v>
      </c>
      <c r="B35" t="s">
        <v>36</v>
      </c>
      <c r="C35" t="s">
        <v>35</v>
      </c>
      <c r="D35">
        <v>1422.24</v>
      </c>
      <c r="E35">
        <v>5</v>
      </c>
      <c r="F35">
        <v>5</v>
      </c>
      <c r="G35">
        <v>151</v>
      </c>
      <c r="H35" t="s">
        <v>34</v>
      </c>
      <c r="I35" t="s">
        <v>33</v>
      </c>
      <c r="J35" t="s">
        <v>32</v>
      </c>
      <c r="K35" t="s">
        <v>17</v>
      </c>
      <c r="L35">
        <v>19.440000000000001</v>
      </c>
      <c r="M35" t="s">
        <v>16</v>
      </c>
      <c r="N35">
        <v>11.99</v>
      </c>
      <c r="O35" t="s">
        <v>0</v>
      </c>
      <c r="P35">
        <v>91</v>
      </c>
    </row>
    <row r="36" spans="1:16" x14ac:dyDescent="0.25">
      <c r="A36" t="s">
        <v>31</v>
      </c>
      <c r="B36" t="s">
        <v>30</v>
      </c>
      <c r="C36" t="s">
        <v>25</v>
      </c>
      <c r="D36">
        <v>1974.16</v>
      </c>
      <c r="E36">
        <v>25</v>
      </c>
      <c r="F36">
        <v>8</v>
      </c>
      <c r="G36">
        <v>205</v>
      </c>
      <c r="H36" t="s">
        <v>24</v>
      </c>
      <c r="I36" t="s">
        <v>10</v>
      </c>
      <c r="J36" t="s">
        <v>29</v>
      </c>
      <c r="K36" t="s">
        <v>17</v>
      </c>
      <c r="L36">
        <v>11.49</v>
      </c>
      <c r="M36" t="s">
        <v>28</v>
      </c>
      <c r="N36">
        <v>19.54</v>
      </c>
      <c r="O36" t="s">
        <v>15</v>
      </c>
      <c r="P36">
        <v>31</v>
      </c>
    </row>
    <row r="37" spans="1:16" x14ac:dyDescent="0.25">
      <c r="A37" t="s">
        <v>27</v>
      </c>
      <c r="B37" t="s">
        <v>26</v>
      </c>
      <c r="C37" t="s">
        <v>25</v>
      </c>
      <c r="D37">
        <v>176.23</v>
      </c>
      <c r="E37">
        <v>10</v>
      </c>
      <c r="F37">
        <v>10</v>
      </c>
      <c r="G37">
        <v>158</v>
      </c>
      <c r="H37" t="s">
        <v>24</v>
      </c>
      <c r="I37" t="s">
        <v>10</v>
      </c>
      <c r="J37" t="s">
        <v>23</v>
      </c>
      <c r="K37" t="s">
        <v>17</v>
      </c>
      <c r="L37">
        <v>43.93</v>
      </c>
      <c r="M37" t="s">
        <v>1</v>
      </c>
      <c r="N37">
        <v>15.27</v>
      </c>
      <c r="O37" t="s">
        <v>0</v>
      </c>
      <c r="P37">
        <v>62</v>
      </c>
    </row>
    <row r="38" spans="1:16" x14ac:dyDescent="0.25">
      <c r="A38" t="s">
        <v>22</v>
      </c>
      <c r="B38" t="s">
        <v>21</v>
      </c>
      <c r="C38" t="s">
        <v>12</v>
      </c>
      <c r="D38">
        <v>969.02</v>
      </c>
      <c r="E38">
        <v>25</v>
      </c>
      <c r="F38">
        <v>12</v>
      </c>
      <c r="G38">
        <v>334</v>
      </c>
      <c r="H38" t="s">
        <v>20</v>
      </c>
      <c r="I38" t="s">
        <v>19</v>
      </c>
      <c r="J38" t="s">
        <v>18</v>
      </c>
      <c r="K38" t="s">
        <v>17</v>
      </c>
      <c r="L38">
        <v>22.94</v>
      </c>
      <c r="M38" t="s">
        <v>16</v>
      </c>
      <c r="N38">
        <v>12.72</v>
      </c>
      <c r="O38" t="s">
        <v>15</v>
      </c>
      <c r="P38">
        <v>37</v>
      </c>
    </row>
    <row r="39" spans="1:16" x14ac:dyDescent="0.25">
      <c r="A39" t="s">
        <v>14</v>
      </c>
      <c r="B39" t="s">
        <v>13</v>
      </c>
      <c r="C39" t="s">
        <v>12</v>
      </c>
      <c r="D39">
        <v>784.57</v>
      </c>
      <c r="E39">
        <v>5</v>
      </c>
      <c r="F39">
        <v>5</v>
      </c>
      <c r="G39">
        <v>202</v>
      </c>
      <c r="H39" t="s">
        <v>11</v>
      </c>
      <c r="I39" t="s">
        <v>10</v>
      </c>
      <c r="J39" t="s">
        <v>9</v>
      </c>
      <c r="K39" t="s">
        <v>2</v>
      </c>
      <c r="L39">
        <v>10.08</v>
      </c>
      <c r="M39" t="s">
        <v>1</v>
      </c>
      <c r="N39">
        <v>19.32</v>
      </c>
      <c r="O39" t="s">
        <v>0</v>
      </c>
      <c r="P39">
        <v>31</v>
      </c>
    </row>
    <row r="40" spans="1:16" x14ac:dyDescent="0.25">
      <c r="A40" t="s">
        <v>8</v>
      </c>
      <c r="B40" t="s">
        <v>7</v>
      </c>
      <c r="C40" t="s">
        <v>6</v>
      </c>
      <c r="D40">
        <v>1297.4000000000001</v>
      </c>
      <c r="E40">
        <v>5</v>
      </c>
      <c r="F40">
        <v>10</v>
      </c>
      <c r="G40">
        <v>156</v>
      </c>
      <c r="H40" t="s">
        <v>5</v>
      </c>
      <c r="I40" t="s">
        <v>4</v>
      </c>
      <c r="J40" t="s">
        <v>3</v>
      </c>
      <c r="K40" t="s">
        <v>2</v>
      </c>
      <c r="L40">
        <v>47.19</v>
      </c>
      <c r="M40" t="s">
        <v>1</v>
      </c>
      <c r="N40">
        <v>4.1100000000000003</v>
      </c>
      <c r="O40" t="s">
        <v>0</v>
      </c>
      <c r="P40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2026-06-01T11:22:08Z</dcterms:created>
  <dcterms:modified xsi:type="dcterms:W3CDTF">2026-06-01T11:22:50Z</dcterms:modified>
</cp:coreProperties>
</file>