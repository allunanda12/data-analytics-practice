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MITS\Documents\"/>
    </mc:Choice>
  </mc:AlternateContent>
  <xr:revisionPtr revIDLastSave="0" documentId="13_ncr:1_{617579E9-B008-4F79-9DFA-F11C4E8991E6}" xr6:coauthVersionLast="47" xr6:coauthVersionMax="47" xr10:uidLastSave="{00000000-0000-0000-0000-000000000000}"/>
  <bookViews>
    <workbookView xWindow="-120" yWindow="-120" windowWidth="29040" windowHeight="15720" activeTab="2" xr2:uid="{775109E1-E9AF-45A8-8EB7-ECA1093A9C3B}"/>
  </bookViews>
  <sheets>
    <sheet name="Sheet1" sheetId="1" r:id="rId1"/>
    <sheet name="Sheet2" sheetId="2" r:id="rId2"/>
    <sheet name="Sheet4" sheetId="4" r:id="rId3"/>
    <sheet name="statistical-analysis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3" l="1" a="1"/>
  <c r="G2" i="3" s="1"/>
  <c r="G3" i="3" a="1"/>
  <c r="G3" i="3" s="1"/>
  <c r="G4" i="3" a="1"/>
  <c r="G4" i="3"/>
  <c r="G5" i="3" a="1"/>
  <c r="G5" i="3"/>
  <c r="G6" i="3" a="1"/>
  <c r="G6" i="3"/>
  <c r="G7" i="3" a="1"/>
  <c r="G7" i="3"/>
  <c r="G8" i="3" a="1"/>
  <c r="G8" i="3"/>
  <c r="G9" i="3" a="1"/>
  <c r="G9" i="3"/>
  <c r="G10" i="3" a="1"/>
  <c r="G10" i="3"/>
  <c r="G11" i="3" a="1"/>
  <c r="G11" i="3" s="1"/>
  <c r="G12" i="3" a="1"/>
  <c r="G12" i="3"/>
  <c r="G13" i="3" a="1"/>
  <c r="G13" i="3"/>
  <c r="G14" i="3" a="1"/>
  <c r="G14" i="3" s="1"/>
  <c r="G15" i="3" a="1"/>
  <c r="G15" i="3" s="1"/>
  <c r="G16" i="3" a="1"/>
  <c r="G16" i="3"/>
  <c r="G17" i="3" a="1"/>
  <c r="G17" i="3"/>
  <c r="G18" i="3" a="1"/>
  <c r="G18" i="3"/>
  <c r="G19" i="3" a="1"/>
  <c r="G19" i="3"/>
  <c r="G20" i="3" a="1"/>
  <c r="G20" i="3"/>
  <c r="G21" i="3" a="1"/>
  <c r="G21" i="3"/>
  <c r="G22" i="3" a="1"/>
  <c r="G22" i="3"/>
  <c r="G23" i="3" a="1"/>
  <c r="G23" i="3"/>
  <c r="G24" i="3" a="1"/>
  <c r="G24" i="3"/>
  <c r="G25" i="3" a="1"/>
  <c r="G25" i="3"/>
  <c r="G26" i="3" a="1"/>
  <c r="G26" i="3" s="1"/>
  <c r="G27" i="3" a="1"/>
  <c r="G27" i="3" s="1"/>
  <c r="G28" i="3" a="1"/>
  <c r="G28" i="3"/>
  <c r="G29" i="3" a="1"/>
  <c r="G29" i="3"/>
  <c r="G30" i="3" a="1"/>
  <c r="G30" i="3"/>
  <c r="G31" i="3" a="1"/>
  <c r="G31" i="3"/>
  <c r="G32" i="3" a="1"/>
  <c r="G32" i="3"/>
  <c r="G33" i="3" a="1"/>
  <c r="G33" i="3"/>
  <c r="G34" i="3" a="1"/>
  <c r="G34" i="3"/>
  <c r="G35" i="3" a="1"/>
  <c r="G35" i="3"/>
  <c r="G36" i="3" a="1"/>
  <c r="G36" i="3"/>
  <c r="P16" i="3"/>
  <c r="L33" i="3"/>
  <c r="L30" i="3"/>
  <c r="J33" i="3"/>
  <c r="J30" i="3"/>
  <c r="P24" i="3"/>
  <c r="N24" i="3"/>
  <c r="L24" i="3"/>
  <c r="J24" i="3"/>
  <c r="L16" i="3"/>
  <c r="N16" i="3"/>
  <c r="J16" i="3"/>
  <c r="I32" i="2" a="1"/>
  <c r="I32" i="2" s="1"/>
  <c r="I33" i="2" a="1"/>
  <c r="I33" i="2"/>
  <c r="I34" i="2" a="1"/>
  <c r="I34" i="2" s="1"/>
  <c r="I35" i="2" a="1"/>
  <c r="I35" i="2"/>
  <c r="I36" i="2" a="1"/>
  <c r="I36" i="2" s="1"/>
  <c r="I37" i="2" a="1"/>
  <c r="I37" i="2"/>
  <c r="I31" i="2" a="1"/>
  <c r="I31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S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5" i="2"/>
  <c r="M5" i="2"/>
  <c r="K26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5" i="2"/>
  <c r="K35" i="1" a="1"/>
  <c r="K35" i="1" s="1"/>
  <c r="K36" i="1" a="1"/>
  <c r="K36" i="1" s="1"/>
  <c r="K37" i="1" a="1"/>
  <c r="K37" i="1" s="1"/>
  <c r="K34" i="1" a="1"/>
  <c r="K34" i="1" s="1"/>
  <c r="S22" i="1"/>
  <c r="S23" i="1"/>
  <c r="S24" i="1"/>
  <c r="S25" i="1"/>
  <c r="W17" i="1"/>
  <c r="U21" i="1"/>
  <c r="U18" i="1"/>
  <c r="U19" i="1"/>
  <c r="U20" i="1"/>
  <c r="U17" i="1"/>
  <c r="R23" i="1"/>
  <c r="O23" i="1" a="1"/>
  <c r="O23" i="1"/>
  <c r="O22" i="1" a="1"/>
  <c r="O22" i="1"/>
  <c r="O21" i="1" a="1"/>
  <c r="O21" i="1" s="1"/>
  <c r="J21" i="1"/>
  <c r="J22" i="1"/>
  <c r="J23" i="1"/>
  <c r="J10" i="1"/>
  <c r="J11" i="1"/>
  <c r="J9" i="1"/>
  <c r="O15" i="1"/>
  <c r="O16" i="1"/>
  <c r="O1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<sst xmlns="http://schemas.openxmlformats.org/spreadsheetml/2006/main" count="502" uniqueCount="72">
  <si>
    <t>Customer Gender</t>
  </si>
  <si>
    <t>Shipping Cost</t>
  </si>
  <si>
    <t>Shipping Method</t>
  </si>
  <si>
    <t>Return Rate</t>
  </si>
  <si>
    <t>Seasonality</t>
  </si>
  <si>
    <t>Popularity Index</t>
  </si>
  <si>
    <t>Male</t>
  </si>
  <si>
    <t>Standard</t>
  </si>
  <si>
    <t>Yes</t>
  </si>
  <si>
    <t>Female</t>
  </si>
  <si>
    <t>Overnight</t>
  </si>
  <si>
    <t>No</t>
  </si>
  <si>
    <t>Non-Binary</t>
  </si>
  <si>
    <t>Express</t>
  </si>
  <si>
    <t>vlookup</t>
  </si>
  <si>
    <t>Hlookup</t>
  </si>
  <si>
    <t>index</t>
  </si>
  <si>
    <t>match</t>
  </si>
  <si>
    <t>xlookup</t>
  </si>
  <si>
    <t>name</t>
  </si>
  <si>
    <t>marks</t>
  </si>
  <si>
    <t>depart</t>
  </si>
  <si>
    <t>a</t>
  </si>
  <si>
    <t>s</t>
  </si>
  <si>
    <t>d</t>
  </si>
  <si>
    <t>f</t>
  </si>
  <si>
    <t>cse</t>
  </si>
  <si>
    <t>eee</t>
  </si>
  <si>
    <t>ds</t>
  </si>
  <si>
    <t>civl</t>
  </si>
  <si>
    <t>rank</t>
  </si>
  <si>
    <t>g</t>
  </si>
  <si>
    <t>ece</t>
  </si>
  <si>
    <t>hlookup</t>
  </si>
  <si>
    <t>xloopup</t>
  </si>
  <si>
    <t>filter</t>
  </si>
  <si>
    <t>if</t>
  </si>
  <si>
    <t>ifelse</t>
  </si>
  <si>
    <t>nestedif</t>
  </si>
  <si>
    <t>and</t>
  </si>
  <si>
    <t>or</t>
  </si>
  <si>
    <t>not</t>
  </si>
  <si>
    <t>xor</t>
  </si>
  <si>
    <t>switch</t>
  </si>
  <si>
    <t>count</t>
  </si>
  <si>
    <t>blank</t>
  </si>
  <si>
    <t>counta</t>
  </si>
  <si>
    <t>countifs</t>
  </si>
  <si>
    <t>median</t>
  </si>
  <si>
    <t>mean</t>
  </si>
  <si>
    <t>mode</t>
  </si>
  <si>
    <t>correlation</t>
  </si>
  <si>
    <t>stddev.p</t>
  </si>
  <si>
    <t>stddev.s</t>
  </si>
  <si>
    <t>variance.p</t>
  </si>
  <si>
    <t>variance.s</t>
  </si>
  <si>
    <t>count=&gt;</t>
  </si>
  <si>
    <t>counts only numerical values</t>
  </si>
  <si>
    <t>counta=&gt;</t>
  </si>
  <si>
    <t>counts categorical values</t>
  </si>
  <si>
    <t>for entire dataset</t>
  </si>
  <si>
    <t>stddev.p=&gt;</t>
  </si>
  <si>
    <t>stdev.a=&gt;</t>
  </si>
  <si>
    <t>for sample or selected values in a dataset</t>
  </si>
  <si>
    <t>seasonality_encoding</t>
  </si>
  <si>
    <t>mode is calculate for numerical data only,then we need to do encoding for categorical data into numerical for calculating mode</t>
  </si>
  <si>
    <t>company</t>
  </si>
  <si>
    <t>Amul</t>
  </si>
  <si>
    <t>MilkMist</t>
  </si>
  <si>
    <t>Hatsun</t>
  </si>
  <si>
    <t>sales</t>
  </si>
  <si>
    <t>logo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</si>
</sst>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B9C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</borders>
  <cellStyleXfs count="6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1" applyNumberFormat="0" applyAlignment="0" applyProtection="0"/>
    <xf numFmtId="0" fontId="1" fillId="5" borderId="0" applyNumberFormat="0" applyBorder="0" applyAlignment="0" applyProtection="0"/>
    <xf numFmtId="0" fontId="6" fillId="10" borderId="0" applyNumberFormat="0" applyBorder="0" applyAlignment="0" applyProtection="0"/>
  </cellStyleXfs>
  <cellXfs count="20">
    <xf numFmtId="0" fontId="0" fillId="0" borderId="0" xfId="0"/>
    <xf numFmtId="0" fontId="5" fillId="6" borderId="2" xfId="0" applyFont="1" applyFill="1" applyBorder="1"/>
    <xf numFmtId="0" fontId="5" fillId="6" borderId="3" xfId="0" applyFont="1" applyFill="1" applyBorder="1"/>
    <xf numFmtId="0" fontId="0" fillId="7" borderId="2" xfId="0" applyFill="1" applyBorder="1"/>
    <xf numFmtId="0" fontId="0" fillId="7" borderId="3" xfId="0" applyFill="1" applyBorder="1"/>
    <xf numFmtId="0" fontId="0" fillId="0" borderId="2" xfId="0" applyBorder="1"/>
    <xf numFmtId="0" fontId="0" fillId="0" borderId="3" xfId="0" applyBorder="1"/>
    <xf numFmtId="0" fontId="4" fillId="4" borderId="1" xfId="3"/>
    <xf numFmtId="0" fontId="4" fillId="8" borderId="1" xfId="3" applyFill="1"/>
    <xf numFmtId="0" fontId="4" fillId="9" borderId="1" xfId="3" applyFill="1"/>
    <xf numFmtId="0" fontId="2" fillId="2" borderId="1" xfId="1" applyBorder="1"/>
    <xf numFmtId="0" fontId="2" fillId="2" borderId="0" xfId="1"/>
    <xf numFmtId="0" fontId="3" fillId="3" borderId="0" xfId="2"/>
    <xf numFmtId="0" fontId="3" fillId="3" borderId="1" xfId="2" applyBorder="1"/>
    <xf numFmtId="0" fontId="5" fillId="6" borderId="4" xfId="0" applyFont="1" applyFill="1" applyBorder="1"/>
    <xf numFmtId="0" fontId="5" fillId="6" borderId="5" xfId="0" applyFont="1" applyFill="1" applyBorder="1"/>
    <xf numFmtId="0" fontId="1" fillId="5" borderId="0" xfId="4"/>
    <xf numFmtId="0" fontId="8" fillId="11" borderId="0" xfId="0" applyFont="1" applyFill="1"/>
    <xf numFmtId="0" fontId="7" fillId="10" borderId="0" xfId="5" applyFont="1"/>
    <xf numFmtId="0" fontId="0" fillId="12" borderId="0" xfId="0" applyFill="1"/>
  </cellXfs>
  <cellStyles count="6">
    <cellStyle name="40% - Accent2" xfId="4" builtinId="35"/>
    <cellStyle name="Bad" xfId="2" builtinId="27"/>
    <cellStyle name="Calculation" xfId="3" builtinId="22"/>
    <cellStyle name="Good" xfId="1" builtinId="26"/>
    <cellStyle name="Neutral" xfId="5" builtinId="28"/>
    <cellStyle name="Normal" xfId="0" builtinId="0"/>
  </cellStyles>
  <dxfs count="12"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indexed="64"/>
          <bgColor theme="0" tint="-0.14999847407452621"/>
        </patternFill>
      </fill>
    </dxf>
    <dxf>
      <numFmt numFmtId="0" formatCode="General"/>
    </dxf>
    <dxf>
      <border outline="0"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Types" Target="richData/rdRichValueTypes.xml"/><Relationship Id="rId5" Type="http://schemas.openxmlformats.org/officeDocument/2006/relationships/theme" Target="theme/theme1.xml"/><Relationship Id="rId10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microsoft.com/office/2017/06/relationships/rdRichValue" Target="richData/rdrichvalue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581025</xdr:colOff>
      <xdr:row>2</xdr:row>
      <xdr:rowOff>142875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A45F3F-175A-5409-15FD-97ED74471D78}"/>
            </a:ext>
          </a:extLst>
        </xdr:cNvPr>
        <xdr:cNvSpPr txBox="1"/>
      </xdr:nvSpPr>
      <xdr:spPr>
        <a:xfrm>
          <a:off x="6067425" y="523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9</xdr:col>
      <xdr:colOff>514370</xdr:colOff>
      <xdr:row>1</xdr:row>
      <xdr:rowOff>21723</xdr:rowOff>
    </xdr:from>
    <xdr:ext cx="4440255" cy="937629"/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1D6AB86-B800-25BD-7C68-B9E36D218766}"/>
            </a:ext>
          </a:extLst>
        </xdr:cNvPr>
        <xdr:cNvSpPr/>
      </xdr:nvSpPr>
      <xdr:spPr>
        <a:xfrm>
          <a:off x="6000770" y="212223"/>
          <a:ext cx="4440255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5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images</a:t>
          </a:r>
          <a:r>
            <a:rPr lang="en-US" sz="5400" b="0" cap="none" spc="0" baseline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 in Excel</a:t>
          </a:r>
          <a:endParaRPr lang="en-IN" sz="5400">
            <a:effectLst/>
          </a:endParaRPr>
        </a:p>
      </xdr:txBody>
    </xdr:sp>
    <xdr:clientData/>
  </xdr:oneCellAnchor>
  <xdr:twoCellAnchor>
    <xdr:from>
      <xdr:col>11</xdr:col>
      <xdr:colOff>19051</xdr:colOff>
      <xdr:row>11</xdr:row>
      <xdr:rowOff>85725</xdr:rowOff>
    </xdr:from>
    <xdr:to>
      <xdr:col>11</xdr:col>
      <xdr:colOff>1181101</xdr:colOff>
      <xdr:row>11</xdr:row>
      <xdr:rowOff>781050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DF8EC36-6EFF-0E38-E817-D252AF09C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67576" y="2181225"/>
          <a:ext cx="1162050" cy="695325"/>
        </a:xfrm>
        <a:prstGeom prst="rect">
          <a:avLst/>
        </a:prstGeom>
      </xdr:spPr>
    </xdr:pic>
    <xdr:clientData fLocksWithSheet="0"/>
  </xdr:twoCellAnchor>
  <xdr:twoCellAnchor>
    <xdr:from>
      <xdr:col>10</xdr:col>
      <xdr:colOff>1095376</xdr:colOff>
      <xdr:row>13</xdr:row>
      <xdr:rowOff>57149</xdr:rowOff>
    </xdr:from>
    <xdr:to>
      <xdr:col>12</xdr:col>
      <xdr:colOff>19051</xdr:colOff>
      <xdr:row>13</xdr:row>
      <xdr:rowOff>800100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4C5B5A25-097A-0ED9-5872-D97F8AEF0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91376" y="3695699"/>
          <a:ext cx="1390650" cy="742951"/>
        </a:xfrm>
        <a:prstGeom prst="rect">
          <a:avLst/>
        </a:prstGeom>
      </xdr:spPr>
    </xdr:pic>
    <xdr:clientData/>
  </xdr:twoCellAnchor>
  <xdr:twoCellAnchor>
    <xdr:from>
      <xdr:col>11</xdr:col>
      <xdr:colOff>133351</xdr:colOff>
      <xdr:row>12</xdr:row>
      <xdr:rowOff>47626</xdr:rowOff>
    </xdr:from>
    <xdr:to>
      <xdr:col>11</xdr:col>
      <xdr:colOff>1257301</xdr:colOff>
      <xdr:row>12</xdr:row>
      <xdr:rowOff>685800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D8212649-1B85-41B7-D1B9-B57A350ED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6" y="2990851"/>
          <a:ext cx="1123950" cy="6381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276225</xdr:colOff>
      <xdr:row>1</xdr:row>
      <xdr:rowOff>145549</xdr:rowOff>
    </xdr:from>
    <xdr:ext cx="6543675" cy="959351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DEF5EE2-642C-6589-CCA3-B46FBDEBA9E7}"/>
            </a:ext>
          </a:extLst>
        </xdr:cNvPr>
        <xdr:cNvSpPr/>
      </xdr:nvSpPr>
      <xdr:spPr>
        <a:xfrm>
          <a:off x="7353300" y="336049"/>
          <a:ext cx="6543675" cy="959351"/>
        </a:xfrm>
        <a:prstGeom prst="rect">
          <a:avLst/>
        </a:prstGeom>
        <a:noFill/>
      </xdr:spPr>
      <xdr:txBody>
        <a:bodyPr wrap="square" lIns="91440" tIns="45720" rIns="91440" bIns="45720">
          <a:noAutofit/>
        </a:bodyPr>
        <a:lstStyle/>
        <a:p>
          <a:pPr algn="ctr"/>
          <a:r>
            <a:rPr lang="en-US" sz="5400" b="0" cap="none" spc="0">
              <a:ln w="0"/>
              <a:solidFill>
                <a:schemeClr val="accent1"/>
              </a:solidFill>
              <a:effectLst>
                <a:outerShdw blurRad="38100" dist="25400" dir="5400000" algn="ctr" rotWithShape="0">
                  <a:srgbClr val="6E747A">
                    <a:alpha val="43000"/>
                  </a:srgbClr>
                </a:outerShdw>
              </a:effectLst>
            </a:rPr>
            <a:t>statistical functions</a:t>
          </a:r>
        </a:p>
      </xdr:txBody>
    </xdr:sp>
    <xdr:clientData/>
  </xdr:one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748354-4CB4-4C16-B310-230CAD4A0DB5}" name="Table1" displayName="Table1" ref="A1:F36" totalsRowShown="0" headerRowDxfId="11" headerRowBorderDxfId="10" tableBorderDxfId="9">
  <autoFilter ref="A1:F36" xr:uid="{8B748354-4CB4-4C16-B310-230CAD4A0DB5}"/>
  <tableColumns count="6">
    <tableColumn id="1" xr3:uid="{9DE90089-C97A-4D48-874F-4B7679295942}" name="Customer Gender"/>
    <tableColumn id="2" xr3:uid="{4CD54CA1-13D6-4E84-B68D-A8FD4384AC86}" name="Shipping Cost"/>
    <tableColumn id="3" xr3:uid="{55EDF1E9-618E-48A4-AE21-D7ECD91564B5}" name="Shipping Method"/>
    <tableColumn id="4" xr3:uid="{0946C727-0E9C-4504-9F2D-1C4E51741949}" name="Return Rate"/>
    <tableColumn id="5" xr3:uid="{C9A512D4-93ED-4E4F-81FB-58A47CA1C4D2}" name="Seasonality"/>
    <tableColumn id="6" xr3:uid="{DCBD3798-F0D4-4899-8747-FCFEE31D2502}" name="Popularity Inde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7AD207-E3AE-424B-BCAF-39B40B95E555}" name="Table4" displayName="Table4" ref="K11:M14" totalsRowShown="0" headerRowDxfId="0" dataDxfId="1">
  <autoFilter ref="K11:M14" xr:uid="{E77AD207-E3AE-424B-BCAF-39B40B95E555}"/>
  <tableColumns count="3">
    <tableColumn id="1" xr3:uid="{65EDC709-9C9C-4E39-96E1-F0AE615D454B}" name="company" dataDxfId="4"/>
    <tableColumn id="3" xr3:uid="{138FA36F-3D2A-4842-8989-7F158A3F57E6}" name="logo" dataDxfId="3"/>
    <tableColumn id="5" xr3:uid="{AC87680C-7B1D-4783-80BB-453E42586869}" name="sales" dataDxfId="2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2D3FD3-23FB-4964-A783-6151829A75B8}" name="Table14" displayName="Table14" ref="A1:G36" totalsRowShown="0" headerRowDxfId="8" headerRowBorderDxfId="6" tableBorderDxfId="7">
  <autoFilter ref="A1:G36" xr:uid="{6F2D3FD3-23FB-4964-A783-6151829A75B8}"/>
  <tableColumns count="7">
    <tableColumn id="1" xr3:uid="{379EA05C-3F98-46B1-974B-90DA10790C2F}" name="Customer Gender"/>
    <tableColumn id="2" xr3:uid="{009525BB-E1C2-4E37-AA43-CD3A4BAFBDE7}" name="Shipping Cost"/>
    <tableColumn id="3" xr3:uid="{3EE8B171-0031-4BF8-9B4A-90F7DD993E1D}" name="Shipping Method"/>
    <tableColumn id="4" xr3:uid="{E128441C-775E-41E0-ABB9-6C798804E574}" name="Return Rate"/>
    <tableColumn id="5" xr3:uid="{64C71355-5F9B-4008-B7F8-46EEF12AB3B5}" name="Seasonality"/>
    <tableColumn id="6" xr3:uid="{46150D52-BBDD-4E3A-B232-22F206126761}" name="Popularity Index"/>
    <tableColumn id="7" xr3:uid="{A8FC5621-38E2-4B2E-A9DB-AA16C9B5FDBF}" name="seasonality_encoding" dataDxfId="5">
      <calculatedColumnFormula array="1">_xlfn.SWITCH(Table14[[#This Row],[Seasonality]],"Yes",1,0)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4F076-D74B-43AE-9730-606A37842DA1}">
  <dimension ref="A1:AV37"/>
  <sheetViews>
    <sheetView workbookViewId="0">
      <selection activeCell="F36" sqref="A1:F36"/>
    </sheetView>
  </sheetViews>
  <sheetFormatPr defaultRowHeight="15" x14ac:dyDescent="0.25"/>
  <cols>
    <col min="1" max="1" width="16.85546875" bestFit="1" customWidth="1"/>
    <col min="2" max="2" width="13.140625" bestFit="1" customWidth="1"/>
    <col min="3" max="3" width="16.42578125" bestFit="1" customWidth="1"/>
    <col min="4" max="4" width="11.42578125" bestFit="1" customWidth="1"/>
    <col min="5" max="5" width="11.140625" bestFit="1" customWidth="1"/>
    <col min="6" max="6" width="15.7109375" bestFit="1" customWidth="1"/>
    <col min="14" max="14" width="16.85546875" bestFit="1" customWidth="1"/>
    <col min="15" max="15" width="8.85546875" bestFit="1" customWidth="1"/>
    <col min="16" max="16" width="9.85546875" bestFit="1" customWidth="1"/>
    <col min="17" max="17" width="11" bestFit="1" customWidth="1"/>
    <col min="18" max="18" width="8.85546875" bestFit="1" customWidth="1"/>
    <col min="19" max="19" width="11.28515625" bestFit="1" customWidth="1"/>
    <col min="20" max="20" width="7.7109375" bestFit="1" customWidth="1"/>
    <col min="21" max="21" width="9.85546875" bestFit="1" customWidth="1"/>
    <col min="22" max="22" width="8.85546875" bestFit="1" customWidth="1"/>
    <col min="23" max="23" width="9.28515625" customWidth="1"/>
  </cols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48" x14ac:dyDescent="0.25">
      <c r="A2" s="3" t="s">
        <v>6</v>
      </c>
      <c r="B2" s="3">
        <v>23.32</v>
      </c>
      <c r="C2" s="3" t="s">
        <v>7</v>
      </c>
      <c r="D2" s="3">
        <v>4.49</v>
      </c>
      <c r="E2" s="3" t="s">
        <v>8</v>
      </c>
      <c r="F2" s="4">
        <v>56</v>
      </c>
    </row>
    <row r="3" spans="1:48" x14ac:dyDescent="0.25">
      <c r="A3" s="5" t="s">
        <v>9</v>
      </c>
      <c r="B3" s="5">
        <v>20.88</v>
      </c>
      <c r="C3" s="5" t="s">
        <v>10</v>
      </c>
      <c r="D3" s="5">
        <v>16.11</v>
      </c>
      <c r="E3" s="5" t="s">
        <v>11</v>
      </c>
      <c r="F3" s="6">
        <v>79</v>
      </c>
    </row>
    <row r="4" spans="1:48" x14ac:dyDescent="0.25">
      <c r="A4" s="3" t="s">
        <v>12</v>
      </c>
      <c r="B4" s="3">
        <v>16.43</v>
      </c>
      <c r="C4" s="3" t="s">
        <v>7</v>
      </c>
      <c r="D4" s="3">
        <v>4.93</v>
      </c>
      <c r="E4" s="3" t="s">
        <v>11</v>
      </c>
      <c r="F4" s="4">
        <v>40</v>
      </c>
    </row>
    <row r="5" spans="1:48" x14ac:dyDescent="0.25">
      <c r="A5" s="5" t="s">
        <v>9</v>
      </c>
      <c r="B5" s="5">
        <v>27.49</v>
      </c>
      <c r="C5" s="5" t="s">
        <v>7</v>
      </c>
      <c r="D5" s="5">
        <v>1.31</v>
      </c>
      <c r="E5" s="5" t="s">
        <v>11</v>
      </c>
      <c r="F5" s="6">
        <v>93</v>
      </c>
      <c r="N5" s="1" t="s">
        <v>0</v>
      </c>
      <c r="O5" s="3" t="s">
        <v>6</v>
      </c>
      <c r="P5" s="5" t="s">
        <v>9</v>
      </c>
      <c r="Q5" s="3" t="s">
        <v>12</v>
      </c>
      <c r="R5" s="5" t="s">
        <v>9</v>
      </c>
      <c r="S5" s="3" t="s">
        <v>6</v>
      </c>
      <c r="T5" s="5" t="s">
        <v>9</v>
      </c>
      <c r="U5" s="3" t="s">
        <v>9</v>
      </c>
      <c r="V5" s="5" t="s">
        <v>6</v>
      </c>
      <c r="W5" s="3" t="s">
        <v>6</v>
      </c>
      <c r="X5" s="5" t="s">
        <v>9</v>
      </c>
      <c r="Y5" s="3" t="s">
        <v>9</v>
      </c>
      <c r="Z5" s="5" t="s">
        <v>9</v>
      </c>
      <c r="AA5" s="3" t="s">
        <v>12</v>
      </c>
      <c r="AB5" s="5" t="s">
        <v>12</v>
      </c>
      <c r="AC5" s="3" t="s">
        <v>9</v>
      </c>
      <c r="AD5" s="5" t="s">
        <v>9</v>
      </c>
      <c r="AE5" s="3" t="s">
        <v>12</v>
      </c>
      <c r="AF5" s="5" t="s">
        <v>12</v>
      </c>
      <c r="AG5" s="3" t="s">
        <v>6</v>
      </c>
      <c r="AH5" s="5" t="s">
        <v>9</v>
      </c>
      <c r="AI5" s="3" t="s">
        <v>12</v>
      </c>
      <c r="AJ5" s="5" t="s">
        <v>6</v>
      </c>
      <c r="AK5" s="3" t="s">
        <v>12</v>
      </c>
      <c r="AL5" s="5" t="s">
        <v>6</v>
      </c>
      <c r="AM5" s="3" t="s">
        <v>12</v>
      </c>
      <c r="AN5" s="5" t="s">
        <v>9</v>
      </c>
      <c r="AO5" s="3" t="s">
        <v>6</v>
      </c>
      <c r="AP5" s="5" t="s">
        <v>6</v>
      </c>
      <c r="AQ5" s="3" t="s">
        <v>9</v>
      </c>
      <c r="AR5" s="5" t="s">
        <v>9</v>
      </c>
      <c r="AS5" s="3" t="s">
        <v>6</v>
      </c>
      <c r="AT5" s="5" t="s">
        <v>12</v>
      </c>
      <c r="AU5" s="3" t="s">
        <v>12</v>
      </c>
      <c r="AV5" s="5" t="s">
        <v>9</v>
      </c>
    </row>
    <row r="6" spans="1:48" x14ac:dyDescent="0.25">
      <c r="A6" s="3" t="s">
        <v>6</v>
      </c>
      <c r="B6" s="3">
        <v>45.93</v>
      </c>
      <c r="C6" s="3" t="s">
        <v>10</v>
      </c>
      <c r="D6" s="3">
        <v>4.37</v>
      </c>
      <c r="E6" s="3" t="s">
        <v>11</v>
      </c>
      <c r="F6" s="4">
        <v>56</v>
      </c>
      <c r="N6" s="1" t="s">
        <v>1</v>
      </c>
      <c r="O6" s="3">
        <v>23.32</v>
      </c>
      <c r="P6" s="5">
        <v>20.88</v>
      </c>
      <c r="Q6" s="3">
        <v>16.43</v>
      </c>
      <c r="R6" s="5">
        <v>27.49</v>
      </c>
      <c r="S6" s="3">
        <v>45.93</v>
      </c>
      <c r="T6" s="5">
        <v>40.119999999999997</v>
      </c>
      <c r="U6" s="3">
        <v>35.909999999999997</v>
      </c>
      <c r="V6" s="5">
        <v>46.42</v>
      </c>
      <c r="W6" s="3">
        <v>33.1</v>
      </c>
      <c r="X6" s="5">
        <v>5.25</v>
      </c>
      <c r="Y6" s="3">
        <v>28.99</v>
      </c>
      <c r="Z6" s="5">
        <v>3.35</v>
      </c>
      <c r="AA6" s="3">
        <v>15.14</v>
      </c>
      <c r="AB6" s="5">
        <v>14.25</v>
      </c>
      <c r="AC6" s="3">
        <v>44.1</v>
      </c>
      <c r="AD6" s="5">
        <v>10.029999999999999</v>
      </c>
      <c r="AE6" s="3">
        <v>1.68</v>
      </c>
      <c r="AF6" s="5">
        <v>2.4</v>
      </c>
      <c r="AG6" s="3">
        <v>36.33</v>
      </c>
      <c r="AH6" s="5">
        <v>20.309999999999999</v>
      </c>
      <c r="AI6" s="3">
        <v>9.2899999999999991</v>
      </c>
      <c r="AJ6" s="5">
        <v>21.4</v>
      </c>
      <c r="AK6" s="3">
        <v>25.57</v>
      </c>
      <c r="AL6" s="5">
        <v>31.41</v>
      </c>
      <c r="AM6" s="3">
        <v>32.96</v>
      </c>
      <c r="AN6" s="5">
        <v>44.88</v>
      </c>
      <c r="AO6" s="3">
        <v>47.31</v>
      </c>
      <c r="AP6" s="5">
        <v>26.67</v>
      </c>
      <c r="AQ6" s="3">
        <v>20.57</v>
      </c>
      <c r="AR6" s="5">
        <v>16.66</v>
      </c>
      <c r="AS6" s="3">
        <v>42.28</v>
      </c>
      <c r="AT6" s="5">
        <v>14.21</v>
      </c>
      <c r="AU6" s="3">
        <v>26.19</v>
      </c>
      <c r="AV6" s="5">
        <v>19.440000000000001</v>
      </c>
    </row>
    <row r="7" spans="1:48" x14ac:dyDescent="0.25">
      <c r="A7" s="5" t="s">
        <v>9</v>
      </c>
      <c r="B7" s="5">
        <v>40.119999999999997</v>
      </c>
      <c r="C7" s="5" t="s">
        <v>13</v>
      </c>
      <c r="D7" s="5">
        <v>19.03</v>
      </c>
      <c r="E7" s="5" t="s">
        <v>11</v>
      </c>
      <c r="F7" s="6">
        <v>91</v>
      </c>
      <c r="N7" s="1" t="s">
        <v>2</v>
      </c>
      <c r="O7" s="3" t="s">
        <v>7</v>
      </c>
      <c r="P7" s="5" t="s">
        <v>10</v>
      </c>
      <c r="Q7" s="3" t="s">
        <v>7</v>
      </c>
      <c r="R7" s="5" t="s">
        <v>7</v>
      </c>
      <c r="S7" s="3" t="s">
        <v>10</v>
      </c>
      <c r="T7" s="5" t="s">
        <v>13</v>
      </c>
      <c r="U7" s="3" t="s">
        <v>10</v>
      </c>
      <c r="V7" s="5" t="s">
        <v>7</v>
      </c>
      <c r="W7" s="3" t="s">
        <v>13</v>
      </c>
      <c r="X7" s="5" t="s">
        <v>10</v>
      </c>
      <c r="Y7" s="3" t="s">
        <v>13</v>
      </c>
      <c r="Z7" s="5" t="s">
        <v>10</v>
      </c>
      <c r="AA7" s="3" t="s">
        <v>7</v>
      </c>
      <c r="AB7" s="5" t="s">
        <v>7</v>
      </c>
      <c r="AC7" s="3" t="s">
        <v>7</v>
      </c>
      <c r="AD7" s="5" t="s">
        <v>10</v>
      </c>
      <c r="AE7" s="3" t="s">
        <v>10</v>
      </c>
      <c r="AF7" s="5" t="s">
        <v>13</v>
      </c>
      <c r="AG7" s="3" t="s">
        <v>10</v>
      </c>
      <c r="AH7" s="5" t="s">
        <v>13</v>
      </c>
      <c r="AI7" s="3" t="s">
        <v>7</v>
      </c>
      <c r="AJ7" s="5" t="s">
        <v>10</v>
      </c>
      <c r="AK7" s="3" t="s">
        <v>7</v>
      </c>
      <c r="AL7" s="5" t="s">
        <v>13</v>
      </c>
      <c r="AM7" s="3" t="s">
        <v>7</v>
      </c>
      <c r="AN7" s="5" t="s">
        <v>13</v>
      </c>
      <c r="AO7" s="3" t="s">
        <v>13</v>
      </c>
      <c r="AP7" s="5" t="s">
        <v>10</v>
      </c>
      <c r="AQ7" s="3" t="s">
        <v>7</v>
      </c>
      <c r="AR7" s="5" t="s">
        <v>13</v>
      </c>
      <c r="AS7" s="3" t="s">
        <v>7</v>
      </c>
      <c r="AT7" s="5" t="s">
        <v>13</v>
      </c>
      <c r="AU7" s="3" t="s">
        <v>10</v>
      </c>
      <c r="AV7" s="5" t="s">
        <v>13</v>
      </c>
    </row>
    <row r="8" spans="1:48" x14ac:dyDescent="0.25">
      <c r="A8" s="3" t="s">
        <v>9</v>
      </c>
      <c r="B8" s="3">
        <v>35.909999999999997</v>
      </c>
      <c r="C8" s="3" t="s">
        <v>10</v>
      </c>
      <c r="D8" s="3">
        <v>17.73</v>
      </c>
      <c r="E8" s="3" t="s">
        <v>8</v>
      </c>
      <c r="F8" s="4">
        <v>41</v>
      </c>
      <c r="J8" s="7" t="s">
        <v>14</v>
      </c>
      <c r="N8" s="1" t="s">
        <v>3</v>
      </c>
      <c r="O8" s="3">
        <v>4.49</v>
      </c>
      <c r="P8" s="5">
        <v>16.11</v>
      </c>
      <c r="Q8" s="3">
        <v>4.93</v>
      </c>
      <c r="R8" s="5">
        <v>1.31</v>
      </c>
      <c r="S8" s="3">
        <v>4.37</v>
      </c>
      <c r="T8" s="5">
        <v>19.03</v>
      </c>
      <c r="U8" s="3">
        <v>17.73</v>
      </c>
      <c r="V8" s="5">
        <v>4.79</v>
      </c>
      <c r="W8" s="3">
        <v>2.5499999999999998</v>
      </c>
      <c r="X8" s="5">
        <v>16.5</v>
      </c>
      <c r="Y8" s="3">
        <v>10.51</v>
      </c>
      <c r="Z8" s="5">
        <v>17.12</v>
      </c>
      <c r="AA8" s="3">
        <v>3.5</v>
      </c>
      <c r="AB8" s="5">
        <v>19.77</v>
      </c>
      <c r="AC8" s="3">
        <v>7.05</v>
      </c>
      <c r="AD8" s="5">
        <v>17.739999999999998</v>
      </c>
      <c r="AE8" s="3">
        <v>11.08</v>
      </c>
      <c r="AF8" s="5">
        <v>10.33</v>
      </c>
      <c r="AG8" s="3">
        <v>1.95</v>
      </c>
      <c r="AH8" s="5">
        <v>16.78</v>
      </c>
      <c r="AI8" s="3">
        <v>10.19</v>
      </c>
      <c r="AJ8" s="5">
        <v>13.52</v>
      </c>
      <c r="AK8" s="3">
        <v>6.63</v>
      </c>
      <c r="AL8" s="5">
        <v>8.27</v>
      </c>
      <c r="AM8" s="3">
        <v>10.98</v>
      </c>
      <c r="AN8" s="5">
        <v>7.81</v>
      </c>
      <c r="AO8" s="3">
        <v>9.26</v>
      </c>
      <c r="AP8" s="5">
        <v>13.28</v>
      </c>
      <c r="AQ8" s="3">
        <v>11.18</v>
      </c>
      <c r="AR8" s="5">
        <v>6.83</v>
      </c>
      <c r="AS8" s="3">
        <v>5.0999999999999996</v>
      </c>
      <c r="AT8" s="5">
        <v>16.649999999999999</v>
      </c>
      <c r="AU8" s="3">
        <v>16.04</v>
      </c>
      <c r="AV8" s="5">
        <v>11.99</v>
      </c>
    </row>
    <row r="9" spans="1:48" x14ac:dyDescent="0.25">
      <c r="A9" s="5" t="s">
        <v>6</v>
      </c>
      <c r="B9" s="5">
        <v>46.42</v>
      </c>
      <c r="C9" s="5" t="s">
        <v>7</v>
      </c>
      <c r="D9" s="5">
        <v>4.79</v>
      </c>
      <c r="E9" s="5" t="s">
        <v>11</v>
      </c>
      <c r="F9" s="6">
        <v>60</v>
      </c>
      <c r="I9" s="7" t="s">
        <v>6</v>
      </c>
      <c r="J9" s="11">
        <f>VLOOKUP(I9,A2:F35,2,0)</f>
        <v>23.32</v>
      </c>
      <c r="N9" s="1" t="s">
        <v>4</v>
      </c>
      <c r="O9" s="3" t="s">
        <v>8</v>
      </c>
      <c r="P9" s="5" t="s">
        <v>11</v>
      </c>
      <c r="Q9" s="3" t="s">
        <v>11</v>
      </c>
      <c r="R9" s="5" t="s">
        <v>11</v>
      </c>
      <c r="S9" s="3" t="s">
        <v>11</v>
      </c>
      <c r="T9" s="5" t="s">
        <v>11</v>
      </c>
      <c r="U9" s="3" t="s">
        <v>8</v>
      </c>
      <c r="V9" s="5" t="s">
        <v>11</v>
      </c>
      <c r="W9" s="3" t="s">
        <v>8</v>
      </c>
      <c r="X9" s="5" t="s">
        <v>8</v>
      </c>
      <c r="Y9" s="3" t="s">
        <v>11</v>
      </c>
      <c r="Z9" s="5" t="s">
        <v>11</v>
      </c>
      <c r="AA9" s="3" t="s">
        <v>11</v>
      </c>
      <c r="AB9" s="5" t="s">
        <v>8</v>
      </c>
      <c r="AC9" s="3" t="s">
        <v>11</v>
      </c>
      <c r="AD9" s="5" t="s">
        <v>11</v>
      </c>
      <c r="AE9" s="3" t="s">
        <v>11</v>
      </c>
      <c r="AF9" s="5" t="s">
        <v>8</v>
      </c>
      <c r="AG9" s="3" t="s">
        <v>8</v>
      </c>
      <c r="AH9" s="5" t="s">
        <v>8</v>
      </c>
      <c r="AI9" s="3" t="s">
        <v>8</v>
      </c>
      <c r="AJ9" s="5" t="s">
        <v>8</v>
      </c>
      <c r="AK9" s="3" t="s">
        <v>8</v>
      </c>
      <c r="AL9" s="5" t="s">
        <v>8</v>
      </c>
      <c r="AM9" s="3" t="s">
        <v>8</v>
      </c>
      <c r="AN9" s="5" t="s">
        <v>8</v>
      </c>
      <c r="AO9" s="3" t="s">
        <v>8</v>
      </c>
      <c r="AP9" s="5" t="s">
        <v>11</v>
      </c>
      <c r="AQ9" s="3" t="s">
        <v>11</v>
      </c>
      <c r="AR9" s="5" t="s">
        <v>11</v>
      </c>
      <c r="AS9" s="3" t="s">
        <v>8</v>
      </c>
      <c r="AT9" s="5" t="s">
        <v>11</v>
      </c>
      <c r="AU9" s="3" t="s">
        <v>8</v>
      </c>
      <c r="AV9" s="5" t="s">
        <v>8</v>
      </c>
    </row>
    <row r="10" spans="1:48" x14ac:dyDescent="0.25">
      <c r="A10" s="3" t="s">
        <v>6</v>
      </c>
      <c r="B10" s="3">
        <v>33.1</v>
      </c>
      <c r="C10" s="3" t="s">
        <v>13</v>
      </c>
      <c r="D10" s="3">
        <v>2.5499999999999998</v>
      </c>
      <c r="E10" s="3" t="s">
        <v>8</v>
      </c>
      <c r="F10" s="4">
        <v>90</v>
      </c>
      <c r="I10" s="7" t="s">
        <v>9</v>
      </c>
      <c r="J10" s="11">
        <f t="shared" ref="J10:J11" si="0">VLOOKUP(I10,A3:F36,2,0)</f>
        <v>20.88</v>
      </c>
      <c r="N10" s="2" t="s">
        <v>5</v>
      </c>
      <c r="O10" s="4">
        <v>56</v>
      </c>
      <c r="P10" s="6">
        <v>79</v>
      </c>
      <c r="Q10" s="4">
        <v>40</v>
      </c>
      <c r="R10" s="6">
        <v>93</v>
      </c>
      <c r="S10" s="4">
        <v>56</v>
      </c>
      <c r="T10" s="6">
        <v>91</v>
      </c>
      <c r="U10" s="4">
        <v>41</v>
      </c>
      <c r="V10" s="6">
        <v>60</v>
      </c>
      <c r="W10" s="4">
        <v>90</v>
      </c>
      <c r="X10" s="6">
        <v>96</v>
      </c>
      <c r="Y10" s="4">
        <v>36</v>
      </c>
      <c r="Z10" s="6">
        <v>66</v>
      </c>
      <c r="AA10" s="4">
        <v>57</v>
      </c>
      <c r="AB10" s="6">
        <v>35</v>
      </c>
      <c r="AC10" s="4">
        <v>3</v>
      </c>
      <c r="AD10" s="6">
        <v>27</v>
      </c>
      <c r="AE10" s="4">
        <v>92</v>
      </c>
      <c r="AF10" s="6">
        <v>72</v>
      </c>
      <c r="AG10" s="4">
        <v>64</v>
      </c>
      <c r="AH10" s="6">
        <v>98</v>
      </c>
      <c r="AI10" s="4">
        <v>97</v>
      </c>
      <c r="AJ10" s="6">
        <v>42</v>
      </c>
      <c r="AK10" s="4">
        <v>49</v>
      </c>
      <c r="AL10" s="6">
        <v>75</v>
      </c>
      <c r="AM10" s="4">
        <v>52</v>
      </c>
      <c r="AN10" s="6">
        <v>77</v>
      </c>
      <c r="AO10" s="4">
        <v>74</v>
      </c>
      <c r="AP10" s="6">
        <v>81</v>
      </c>
      <c r="AQ10" s="4">
        <v>1</v>
      </c>
      <c r="AR10" s="6">
        <v>12</v>
      </c>
      <c r="AS10" s="4">
        <v>74</v>
      </c>
      <c r="AT10" s="6">
        <v>99</v>
      </c>
      <c r="AU10" s="4">
        <v>76</v>
      </c>
      <c r="AV10" s="6">
        <v>91</v>
      </c>
    </row>
    <row r="11" spans="1:48" x14ac:dyDescent="0.25">
      <c r="A11" s="5" t="s">
        <v>9</v>
      </c>
      <c r="B11" s="5">
        <v>5.25</v>
      </c>
      <c r="C11" s="5" t="s">
        <v>10</v>
      </c>
      <c r="D11" s="5">
        <v>16.5</v>
      </c>
      <c r="E11" s="5" t="s">
        <v>8</v>
      </c>
      <c r="F11" s="6">
        <v>96</v>
      </c>
      <c r="I11" s="7" t="s">
        <v>12</v>
      </c>
      <c r="J11" s="11">
        <f t="shared" si="0"/>
        <v>16.43</v>
      </c>
    </row>
    <row r="12" spans="1:48" x14ac:dyDescent="0.25">
      <c r="A12" s="3" t="s">
        <v>9</v>
      </c>
      <c r="B12" s="3">
        <v>28.99</v>
      </c>
      <c r="C12" s="3" t="s">
        <v>13</v>
      </c>
      <c r="D12" s="3">
        <v>10.51</v>
      </c>
      <c r="E12" s="3" t="s">
        <v>11</v>
      </c>
      <c r="F12" s="4">
        <v>36</v>
      </c>
      <c r="N12" s="7" t="s">
        <v>15</v>
      </c>
      <c r="O12" s="7"/>
    </row>
    <row r="13" spans="1:48" x14ac:dyDescent="0.25">
      <c r="A13" s="5" t="s">
        <v>9</v>
      </c>
      <c r="B13" s="5">
        <v>3.35</v>
      </c>
      <c r="C13" s="5" t="s">
        <v>10</v>
      </c>
      <c r="D13" s="5">
        <v>17.12</v>
      </c>
      <c r="E13" s="5" t="s">
        <v>11</v>
      </c>
      <c r="F13" s="6">
        <v>66</v>
      </c>
      <c r="N13" s="7"/>
      <c r="O13" s="7"/>
    </row>
    <row r="14" spans="1:48" x14ac:dyDescent="0.25">
      <c r="A14" s="3" t="s">
        <v>12</v>
      </c>
      <c r="B14" s="3">
        <v>15.14</v>
      </c>
      <c r="C14" s="3" t="s">
        <v>7</v>
      </c>
      <c r="D14" s="3">
        <v>3.5</v>
      </c>
      <c r="E14" s="3" t="s">
        <v>11</v>
      </c>
      <c r="F14" s="4">
        <v>57</v>
      </c>
      <c r="N14" s="7" t="s">
        <v>7</v>
      </c>
      <c r="O14" s="8">
        <f>HLOOKUP(N14,$O$7:$AV$10,2,0)</f>
        <v>4.49</v>
      </c>
    </row>
    <row r="15" spans="1:48" x14ac:dyDescent="0.25">
      <c r="A15" s="5" t="s">
        <v>12</v>
      </c>
      <c r="B15" s="5">
        <v>14.25</v>
      </c>
      <c r="C15" s="5" t="s">
        <v>7</v>
      </c>
      <c r="D15" s="5">
        <v>19.77</v>
      </c>
      <c r="E15" s="5" t="s">
        <v>8</v>
      </c>
      <c r="F15" s="6">
        <v>35</v>
      </c>
      <c r="N15" s="7" t="s">
        <v>10</v>
      </c>
      <c r="O15" s="8">
        <f t="shared" ref="O15:O16" si="1">HLOOKUP(N15,$O$7:$AV$10,2,0)</f>
        <v>16.11</v>
      </c>
    </row>
    <row r="16" spans="1:48" x14ac:dyDescent="0.25">
      <c r="A16" s="3" t="s">
        <v>9</v>
      </c>
      <c r="B16" s="3">
        <v>44.1</v>
      </c>
      <c r="C16" s="3" t="s">
        <v>7</v>
      </c>
      <c r="D16" s="3">
        <v>7.05</v>
      </c>
      <c r="E16" s="3" t="s">
        <v>11</v>
      </c>
      <c r="F16" s="4">
        <v>3</v>
      </c>
      <c r="N16" s="7" t="s">
        <v>13</v>
      </c>
      <c r="O16" s="8">
        <f t="shared" si="1"/>
        <v>19.03</v>
      </c>
      <c r="R16" s="12" t="s">
        <v>19</v>
      </c>
      <c r="S16" s="12" t="s">
        <v>20</v>
      </c>
      <c r="T16" s="12" t="s">
        <v>21</v>
      </c>
      <c r="U16" s="12" t="s">
        <v>30</v>
      </c>
      <c r="W16" s="13" t="s">
        <v>18</v>
      </c>
    </row>
    <row r="17" spans="1:23" x14ac:dyDescent="0.25">
      <c r="A17" s="5" t="s">
        <v>9</v>
      </c>
      <c r="B17" s="5">
        <v>10.029999999999999</v>
      </c>
      <c r="C17" s="5" t="s">
        <v>10</v>
      </c>
      <c r="D17" s="5">
        <v>17.739999999999998</v>
      </c>
      <c r="E17" s="5" t="s">
        <v>11</v>
      </c>
      <c r="F17" s="6">
        <v>27</v>
      </c>
      <c r="R17" s="12" t="s">
        <v>22</v>
      </c>
      <c r="S17" s="12">
        <v>90</v>
      </c>
      <c r="T17" s="12" t="s">
        <v>26</v>
      </c>
      <c r="U17" s="12">
        <f>RANK(S17,$S$17:$S$20,0)</f>
        <v>1</v>
      </c>
      <c r="W17" s="13" t="str">
        <f>_xlfn.XLOOKUP(S17,S17:S20,T17:T20,"no",0,-2)</f>
        <v>cse</v>
      </c>
    </row>
    <row r="18" spans="1:23" x14ac:dyDescent="0.25">
      <c r="A18" s="3" t="s">
        <v>12</v>
      </c>
      <c r="B18" s="3">
        <v>1.68</v>
      </c>
      <c r="C18" s="3" t="s">
        <v>10</v>
      </c>
      <c r="D18" s="3">
        <v>11.08</v>
      </c>
      <c r="E18" s="3" t="s">
        <v>11</v>
      </c>
      <c r="F18" s="4">
        <v>92</v>
      </c>
      <c r="R18" s="12" t="s">
        <v>23</v>
      </c>
      <c r="S18" s="12">
        <v>45</v>
      </c>
      <c r="T18" s="12" t="s">
        <v>27</v>
      </c>
      <c r="U18" s="12">
        <f t="shared" ref="U18:U21" si="2">RANK(S18,$S$17:$S$20,0)</f>
        <v>4</v>
      </c>
    </row>
    <row r="19" spans="1:23" x14ac:dyDescent="0.25">
      <c r="A19" s="5" t="s">
        <v>12</v>
      </c>
      <c r="B19" s="5">
        <v>2.4</v>
      </c>
      <c r="C19" s="5" t="s">
        <v>13</v>
      </c>
      <c r="D19" s="5">
        <v>10.33</v>
      </c>
      <c r="E19" s="5" t="s">
        <v>8</v>
      </c>
      <c r="F19" s="6">
        <v>72</v>
      </c>
      <c r="I19" s="9" t="s">
        <v>17</v>
      </c>
      <c r="R19" s="12" t="s">
        <v>24</v>
      </c>
      <c r="S19" s="12">
        <v>90</v>
      </c>
      <c r="T19" s="12" t="s">
        <v>28</v>
      </c>
      <c r="U19" s="12">
        <f t="shared" si="2"/>
        <v>1</v>
      </c>
    </row>
    <row r="20" spans="1:23" x14ac:dyDescent="0.25">
      <c r="A20" s="3" t="s">
        <v>6</v>
      </c>
      <c r="B20" s="3">
        <v>36.33</v>
      </c>
      <c r="C20" s="3" t="s">
        <v>10</v>
      </c>
      <c r="D20" s="3">
        <v>1.95</v>
      </c>
      <c r="E20" s="3" t="s">
        <v>8</v>
      </c>
      <c r="F20" s="4">
        <v>64</v>
      </c>
      <c r="N20" s="7" t="s">
        <v>16</v>
      </c>
      <c r="R20" s="12" t="s">
        <v>25</v>
      </c>
      <c r="S20" s="12">
        <v>65</v>
      </c>
      <c r="T20" s="12" t="s">
        <v>29</v>
      </c>
      <c r="U20" s="12">
        <f t="shared" si="2"/>
        <v>3</v>
      </c>
    </row>
    <row r="21" spans="1:23" x14ac:dyDescent="0.25">
      <c r="A21" s="5" t="s">
        <v>9</v>
      </c>
      <c r="B21" s="5">
        <v>20.309999999999999</v>
      </c>
      <c r="C21" s="5" t="s">
        <v>13</v>
      </c>
      <c r="D21" s="5">
        <v>16.78</v>
      </c>
      <c r="E21" s="5" t="s">
        <v>8</v>
      </c>
      <c r="F21" s="6">
        <v>98</v>
      </c>
      <c r="I21" s="7" t="s">
        <v>7</v>
      </c>
      <c r="J21" s="11">
        <f>MATCH(I21,C:C,0)</f>
        <v>2</v>
      </c>
      <c r="N21" s="7"/>
      <c r="O21" s="10" t="str" cm="1">
        <f t="array" ref="O21">INDEX(A:A,2,0)</f>
        <v>Male</v>
      </c>
      <c r="R21" s="12" t="s">
        <v>31</v>
      </c>
      <c r="S21" s="12">
        <v>90</v>
      </c>
      <c r="T21" s="12" t="s">
        <v>32</v>
      </c>
      <c r="U21" s="12">
        <f t="shared" si="2"/>
        <v>1</v>
      </c>
    </row>
    <row r="22" spans="1:23" x14ac:dyDescent="0.25">
      <c r="A22" s="3" t="s">
        <v>12</v>
      </c>
      <c r="B22" s="3">
        <v>9.2899999999999991</v>
      </c>
      <c r="C22" s="3" t="s">
        <v>7</v>
      </c>
      <c r="D22" s="3">
        <v>10.19</v>
      </c>
      <c r="E22" s="3" t="s">
        <v>8</v>
      </c>
      <c r="F22" s="4">
        <v>97</v>
      </c>
      <c r="I22" s="7" t="s">
        <v>10</v>
      </c>
      <c r="J22" s="11">
        <f t="shared" ref="J22:J23" si="3">MATCH(I22,C:C,0)</f>
        <v>3</v>
      </c>
      <c r="N22" s="7"/>
      <c r="O22" s="10" t="str" cm="1">
        <f t="array" ref="O22">INDEX(A:A,4,0)</f>
        <v>Non-Binary</v>
      </c>
      <c r="S22" t="str">
        <f>IF(U17=1,R17,"less than 90")</f>
        <v>a</v>
      </c>
    </row>
    <row r="23" spans="1:23" x14ac:dyDescent="0.25">
      <c r="A23" s="5" t="s">
        <v>6</v>
      </c>
      <c r="B23" s="5">
        <v>21.4</v>
      </c>
      <c r="C23" s="5" t="s">
        <v>10</v>
      </c>
      <c r="D23" s="5">
        <v>13.52</v>
      </c>
      <c r="E23" s="5" t="s">
        <v>8</v>
      </c>
      <c r="F23" s="6">
        <v>42</v>
      </c>
      <c r="I23" s="7" t="s">
        <v>13</v>
      </c>
      <c r="J23" s="11">
        <f t="shared" si="3"/>
        <v>7</v>
      </c>
      <c r="N23" s="7"/>
      <c r="O23" s="10" t="str" cm="1">
        <f t="array" ref="O23">INDEX(A:A,7,0)</f>
        <v>Female</v>
      </c>
      <c r="R23" t="str">
        <f>VLOOKUP(S17,S17:T20,2)</f>
        <v>ds</v>
      </c>
      <c r="S23" t="str">
        <f t="shared" ref="S23:S25" si="4">IF(U18=1,R18,"less than 90")</f>
        <v>less than 90</v>
      </c>
    </row>
    <row r="24" spans="1:23" x14ac:dyDescent="0.25">
      <c r="A24" s="3" t="s">
        <v>12</v>
      </c>
      <c r="B24" s="3">
        <v>25.57</v>
      </c>
      <c r="C24" s="3" t="s">
        <v>7</v>
      </c>
      <c r="D24" s="3">
        <v>6.63</v>
      </c>
      <c r="E24" s="3" t="s">
        <v>8</v>
      </c>
      <c r="F24" s="4">
        <v>49</v>
      </c>
      <c r="S24" t="str">
        <f t="shared" si="4"/>
        <v>d</v>
      </c>
    </row>
    <row r="25" spans="1:23" x14ac:dyDescent="0.25">
      <c r="A25" s="5" t="s">
        <v>6</v>
      </c>
      <c r="B25" s="5">
        <v>31.41</v>
      </c>
      <c r="C25" s="5" t="s">
        <v>13</v>
      </c>
      <c r="D25" s="5">
        <v>8.27</v>
      </c>
      <c r="E25" s="5" t="s">
        <v>8</v>
      </c>
      <c r="F25" s="6">
        <v>75</v>
      </c>
      <c r="S25" t="str">
        <f t="shared" si="4"/>
        <v>less than 90</v>
      </c>
    </row>
    <row r="26" spans="1:23" x14ac:dyDescent="0.25">
      <c r="A26" s="3" t="s">
        <v>12</v>
      </c>
      <c r="B26" s="3">
        <v>32.96</v>
      </c>
      <c r="C26" s="3" t="s">
        <v>7</v>
      </c>
      <c r="D26" s="3">
        <v>10.98</v>
      </c>
      <c r="E26" s="3" t="s">
        <v>8</v>
      </c>
      <c r="F26" s="4">
        <v>52</v>
      </c>
    </row>
    <row r="27" spans="1:23" x14ac:dyDescent="0.25">
      <c r="A27" s="5" t="s">
        <v>9</v>
      </c>
      <c r="B27" s="5">
        <v>44.88</v>
      </c>
      <c r="C27" s="5" t="s">
        <v>13</v>
      </c>
      <c r="D27" s="5">
        <v>7.81</v>
      </c>
      <c r="E27" s="5" t="s">
        <v>8</v>
      </c>
      <c r="F27" s="6">
        <v>77</v>
      </c>
    </row>
    <row r="28" spans="1:23" x14ac:dyDescent="0.25">
      <c r="A28" s="3" t="s">
        <v>6</v>
      </c>
      <c r="B28" s="3">
        <v>47.31</v>
      </c>
      <c r="C28" s="3" t="s">
        <v>13</v>
      </c>
      <c r="D28" s="3">
        <v>9.26</v>
      </c>
      <c r="E28" s="3" t="s">
        <v>8</v>
      </c>
      <c r="F28" s="4">
        <v>74</v>
      </c>
    </row>
    <row r="29" spans="1:23" x14ac:dyDescent="0.25">
      <c r="A29" s="5" t="s">
        <v>6</v>
      </c>
      <c r="B29" s="5">
        <v>26.67</v>
      </c>
      <c r="C29" s="5" t="s">
        <v>10</v>
      </c>
      <c r="D29" s="5">
        <v>13.28</v>
      </c>
      <c r="E29" s="5" t="s">
        <v>11</v>
      </c>
      <c r="F29" s="6">
        <v>81</v>
      </c>
      <c r="J29" t="s">
        <v>14</v>
      </c>
    </row>
    <row r="30" spans="1:23" x14ac:dyDescent="0.25">
      <c r="A30" s="3" t="s">
        <v>9</v>
      </c>
      <c r="B30" s="3">
        <v>20.57</v>
      </c>
      <c r="C30" s="3" t="s">
        <v>7</v>
      </c>
      <c r="D30" s="3">
        <v>11.18</v>
      </c>
      <c r="E30" s="3" t="s">
        <v>11</v>
      </c>
      <c r="F30" s="4">
        <v>1</v>
      </c>
      <c r="J30" t="s">
        <v>33</v>
      </c>
    </row>
    <row r="31" spans="1:23" x14ac:dyDescent="0.25">
      <c r="A31" s="5" t="s">
        <v>9</v>
      </c>
      <c r="B31" s="5">
        <v>16.66</v>
      </c>
      <c r="C31" s="5" t="s">
        <v>13</v>
      </c>
      <c r="D31" s="5">
        <v>6.83</v>
      </c>
      <c r="E31" s="5" t="s">
        <v>11</v>
      </c>
      <c r="F31" s="6">
        <v>12</v>
      </c>
      <c r="J31" t="s">
        <v>34</v>
      </c>
    </row>
    <row r="32" spans="1:23" x14ac:dyDescent="0.25">
      <c r="A32" s="3" t="s">
        <v>6</v>
      </c>
      <c r="B32" s="3">
        <v>42.28</v>
      </c>
      <c r="C32" s="3" t="s">
        <v>7</v>
      </c>
      <c r="D32" s="3">
        <v>5.0999999999999996</v>
      </c>
      <c r="E32" s="3" t="s">
        <v>8</v>
      </c>
      <c r="F32" s="4">
        <v>74</v>
      </c>
      <c r="J32" t="s">
        <v>16</v>
      </c>
    </row>
    <row r="33" spans="1:11" x14ac:dyDescent="0.25">
      <c r="A33" s="5" t="s">
        <v>12</v>
      </c>
      <c r="B33" s="5">
        <v>14.21</v>
      </c>
      <c r="C33" s="5" t="s">
        <v>13</v>
      </c>
      <c r="D33" s="5">
        <v>16.649999999999999</v>
      </c>
      <c r="E33" s="5" t="s">
        <v>11</v>
      </c>
      <c r="F33" s="6">
        <v>99</v>
      </c>
      <c r="J33" t="s">
        <v>17</v>
      </c>
    </row>
    <row r="34" spans="1:11" x14ac:dyDescent="0.25">
      <c r="A34" s="3" t="s">
        <v>12</v>
      </c>
      <c r="B34" s="3">
        <v>26.19</v>
      </c>
      <c r="C34" s="3" t="s">
        <v>10</v>
      </c>
      <c r="D34" s="3">
        <v>16.04</v>
      </c>
      <c r="E34" s="3" t="s">
        <v>8</v>
      </c>
      <c r="F34" s="4">
        <v>76</v>
      </c>
      <c r="J34" t="s">
        <v>35</v>
      </c>
      <c r="K34" cm="1">
        <f t="array" ref="K34">_xlfn._xlws.FILTER(S17,U17=1)</f>
        <v>90</v>
      </c>
    </row>
    <row r="35" spans="1:11" x14ac:dyDescent="0.25">
      <c r="A35" s="5" t="s">
        <v>9</v>
      </c>
      <c r="B35" s="5">
        <v>19.440000000000001</v>
      </c>
      <c r="C35" s="5" t="s">
        <v>13</v>
      </c>
      <c r="D35" s="5">
        <v>11.99</v>
      </c>
      <c r="E35" s="5" t="s">
        <v>8</v>
      </c>
      <c r="F35" s="6">
        <v>91</v>
      </c>
      <c r="K35" t="e" cm="1" vm="1">
        <f t="array" ref="K35">_xlfn._xlws.FILTER(S18,U18=1)</f>
        <v>#VALUE!</v>
      </c>
    </row>
    <row r="36" spans="1:11" x14ac:dyDescent="0.25">
      <c r="K36" cm="1">
        <f t="array" ref="K36">_xlfn._xlws.FILTER(S19,U19=1)</f>
        <v>90</v>
      </c>
    </row>
    <row r="37" spans="1:11" x14ac:dyDescent="0.25">
      <c r="K37" t="e" cm="1" vm="1">
        <f t="array" ref="K37">_xlfn._xlws.FILTER(S20,U20=1)</f>
        <v>#VALUE!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A2C41-746F-4025-A454-E38575CC3716}">
  <dimension ref="A1:U37"/>
  <sheetViews>
    <sheetView topLeftCell="A5" workbookViewId="0">
      <selection sqref="A1:F36"/>
    </sheetView>
  </sheetViews>
  <sheetFormatPr defaultRowHeight="15" x14ac:dyDescent="0.25"/>
  <cols>
    <col min="1" max="1" width="18.85546875" customWidth="1"/>
    <col min="2" max="2" width="15.140625" customWidth="1"/>
    <col min="3" max="3" width="18.42578125" customWidth="1"/>
    <col min="4" max="4" width="13.5703125" customWidth="1"/>
    <col min="5" max="5" width="13.28515625" customWidth="1"/>
    <col min="6" max="6" width="17.7109375" customWidth="1"/>
    <col min="13" max="13" width="15.85546875" bestFit="1" customWidth="1"/>
  </cols>
  <sheetData>
    <row r="1" spans="1:2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 t="s">
        <v>5</v>
      </c>
    </row>
    <row r="2" spans="1:21" x14ac:dyDescent="0.25">
      <c r="A2" s="3" t="s">
        <v>6</v>
      </c>
      <c r="B2" s="3">
        <v>23.32</v>
      </c>
      <c r="C2" s="3" t="s">
        <v>7</v>
      </c>
      <c r="D2" s="3">
        <v>4.49</v>
      </c>
      <c r="E2" s="3" t="s">
        <v>8</v>
      </c>
      <c r="F2" s="4">
        <v>56</v>
      </c>
    </row>
    <row r="3" spans="1:21" x14ac:dyDescent="0.25">
      <c r="A3" s="5" t="s">
        <v>9</v>
      </c>
      <c r="B3" s="5">
        <v>20.88</v>
      </c>
      <c r="C3" s="5" t="s">
        <v>10</v>
      </c>
      <c r="D3" s="5">
        <v>16.11</v>
      </c>
      <c r="E3" s="5" t="s">
        <v>11</v>
      </c>
      <c r="F3" s="6">
        <v>79</v>
      </c>
    </row>
    <row r="4" spans="1:21" x14ac:dyDescent="0.25">
      <c r="A4" s="3" t="s">
        <v>12</v>
      </c>
      <c r="B4" s="3">
        <v>16.43</v>
      </c>
      <c r="C4" s="3" t="s">
        <v>7</v>
      </c>
      <c r="D4" s="3">
        <v>4.93</v>
      </c>
      <c r="E4" s="3" t="s">
        <v>11</v>
      </c>
      <c r="F4" s="4">
        <v>40</v>
      </c>
      <c r="I4" s="16" t="s">
        <v>36</v>
      </c>
      <c r="K4" s="16" t="s">
        <v>37</v>
      </c>
      <c r="M4" s="16" t="s">
        <v>38</v>
      </c>
      <c r="O4" t="s">
        <v>39</v>
      </c>
      <c r="Q4" t="s">
        <v>40</v>
      </c>
      <c r="S4" t="s">
        <v>41</v>
      </c>
      <c r="U4" t="s">
        <v>42</v>
      </c>
    </row>
    <row r="5" spans="1:21" x14ac:dyDescent="0.25">
      <c r="A5" s="5" t="s">
        <v>9</v>
      </c>
      <c r="B5" s="5">
        <v>27.49</v>
      </c>
      <c r="C5" s="5" t="s">
        <v>7</v>
      </c>
      <c r="D5" s="5">
        <v>1.31</v>
      </c>
      <c r="E5" s="5" t="s">
        <v>11</v>
      </c>
      <c r="F5" s="6">
        <v>93</v>
      </c>
      <c r="I5" t="b">
        <f>IF(C2="Express","speed")</f>
        <v>0</v>
      </c>
      <c r="K5" t="str">
        <f>IF(C2=C7,"speed","normal")</f>
        <v>normal</v>
      </c>
      <c r="M5" t="b">
        <f>IF(B2&lt;20,"highcost product",IF(B3&gt;30,"lowcost ",IF(B4&gt;35,"delivery cost")))</f>
        <v>0</v>
      </c>
      <c r="O5" t="b">
        <f>AND(E2=$E$2,C2=$C$3)</f>
        <v>0</v>
      </c>
      <c r="Q5" t="b">
        <f>OR(A2=$A$3,C2=$C$3)</f>
        <v>0</v>
      </c>
      <c r="S5" t="b">
        <f>NOT(FALSE)</f>
        <v>1</v>
      </c>
      <c r="U5" t="b">
        <f>_xlfn.XOR(A2=$A$3,C2=$C$3)</f>
        <v>0</v>
      </c>
    </row>
    <row r="6" spans="1:21" x14ac:dyDescent="0.25">
      <c r="A6" s="3" t="s">
        <v>6</v>
      </c>
      <c r="B6" s="3">
        <v>45.93</v>
      </c>
      <c r="C6" s="3" t="s">
        <v>10</v>
      </c>
      <c r="D6" s="3">
        <v>4.37</v>
      </c>
      <c r="E6" s="3" t="s">
        <v>11</v>
      </c>
      <c r="F6" s="4">
        <v>56</v>
      </c>
      <c r="I6" t="b">
        <f t="shared" ref="I6:I22" si="0">IF(C3="Express","speed")</f>
        <v>0</v>
      </c>
      <c r="K6" t="str">
        <f t="shared" ref="K6:K22" si="1">IF(C3=C8,"speed","normal")</f>
        <v>speed</v>
      </c>
      <c r="M6" t="b">
        <f t="shared" ref="M6:M22" si="2">IF(B3&lt;20,"highcost product",IF(B4&gt;30,"lowcost ",IF(B5&gt;35,"delivery cost")))</f>
        <v>0</v>
      </c>
      <c r="O6" t="b">
        <f t="shared" ref="O6:O27" si="3">AND(E3=$E$2,C3=$C$3)</f>
        <v>0</v>
      </c>
      <c r="Q6" t="b">
        <f t="shared" ref="Q6:Q23" si="4">OR(A3=$A$3,C3=$C$3)</f>
        <v>1</v>
      </c>
      <c r="U6" t="b">
        <f t="shared" ref="U6:U27" si="5">_xlfn.XOR(A3=$A$3,C3=$C$3)</f>
        <v>0</v>
      </c>
    </row>
    <row r="7" spans="1:21" x14ac:dyDescent="0.25">
      <c r="A7" s="5" t="s">
        <v>9</v>
      </c>
      <c r="B7" s="5">
        <v>40.119999999999997</v>
      </c>
      <c r="C7" s="5" t="s">
        <v>13</v>
      </c>
      <c r="D7" s="5">
        <v>19.03</v>
      </c>
      <c r="E7" s="5" t="s">
        <v>11</v>
      </c>
      <c r="F7" s="6">
        <v>91</v>
      </c>
      <c r="I7" t="b">
        <f t="shared" si="0"/>
        <v>0</v>
      </c>
      <c r="K7" t="str">
        <f t="shared" si="1"/>
        <v>speed</v>
      </c>
      <c r="M7" t="str">
        <f t="shared" si="2"/>
        <v>highcost product</v>
      </c>
      <c r="O7" t="b">
        <f t="shared" si="3"/>
        <v>0</v>
      </c>
      <c r="Q7" t="b">
        <f t="shared" si="4"/>
        <v>0</v>
      </c>
      <c r="U7" t="b">
        <f t="shared" si="5"/>
        <v>0</v>
      </c>
    </row>
    <row r="8" spans="1:21" x14ac:dyDescent="0.25">
      <c r="A8" s="3" t="s">
        <v>9</v>
      </c>
      <c r="B8" s="3">
        <v>35.909999999999997</v>
      </c>
      <c r="C8" s="3" t="s">
        <v>10</v>
      </c>
      <c r="D8" s="3">
        <v>17.73</v>
      </c>
      <c r="E8" s="3" t="s">
        <v>8</v>
      </c>
      <c r="F8" s="4">
        <v>41</v>
      </c>
      <c r="I8" t="b">
        <f t="shared" si="0"/>
        <v>0</v>
      </c>
      <c r="K8" t="str">
        <f t="shared" si="1"/>
        <v>normal</v>
      </c>
      <c r="M8" t="str">
        <f t="shared" si="2"/>
        <v xml:space="preserve">lowcost </v>
      </c>
      <c r="O8" t="b">
        <f t="shared" si="3"/>
        <v>0</v>
      </c>
      <c r="Q8" t="b">
        <f t="shared" si="4"/>
        <v>1</v>
      </c>
      <c r="U8" t="b">
        <f t="shared" si="5"/>
        <v>1</v>
      </c>
    </row>
    <row r="9" spans="1:21" x14ac:dyDescent="0.25">
      <c r="A9" s="5" t="s">
        <v>6</v>
      </c>
      <c r="B9" s="5">
        <v>46.42</v>
      </c>
      <c r="C9" s="5" t="s">
        <v>7</v>
      </c>
      <c r="D9" s="5">
        <v>4.79</v>
      </c>
      <c r="E9" s="5" t="s">
        <v>11</v>
      </c>
      <c r="F9" s="6">
        <v>60</v>
      </c>
      <c r="I9" t="b">
        <f t="shared" si="0"/>
        <v>0</v>
      </c>
      <c r="K9" t="str">
        <f t="shared" si="1"/>
        <v>speed</v>
      </c>
      <c r="M9" t="str">
        <f t="shared" si="2"/>
        <v xml:space="preserve">lowcost </v>
      </c>
      <c r="O9" t="b">
        <f t="shared" si="3"/>
        <v>0</v>
      </c>
      <c r="Q9" t="b">
        <f t="shared" si="4"/>
        <v>1</v>
      </c>
      <c r="U9" t="b">
        <f t="shared" si="5"/>
        <v>1</v>
      </c>
    </row>
    <row r="10" spans="1:21" x14ac:dyDescent="0.25">
      <c r="A10" s="3" t="s">
        <v>6</v>
      </c>
      <c r="B10" s="3">
        <v>33.1</v>
      </c>
      <c r="C10" s="3" t="s">
        <v>13</v>
      </c>
      <c r="D10" s="3">
        <v>2.5499999999999998</v>
      </c>
      <c r="E10" s="3" t="s">
        <v>8</v>
      </c>
      <c r="F10" s="4">
        <v>90</v>
      </c>
      <c r="I10" t="str">
        <f t="shared" si="0"/>
        <v>speed</v>
      </c>
      <c r="K10" t="str">
        <f t="shared" si="1"/>
        <v>speed</v>
      </c>
      <c r="M10" t="str">
        <f t="shared" si="2"/>
        <v xml:space="preserve">lowcost </v>
      </c>
      <c r="O10" t="b">
        <f t="shared" si="3"/>
        <v>0</v>
      </c>
      <c r="Q10" t="b">
        <f t="shared" si="4"/>
        <v>1</v>
      </c>
      <c r="U10" t="b">
        <f t="shared" si="5"/>
        <v>1</v>
      </c>
    </row>
    <row r="11" spans="1:21" x14ac:dyDescent="0.25">
      <c r="A11" s="5" t="s">
        <v>9</v>
      </c>
      <c r="B11" s="5">
        <v>5.25</v>
      </c>
      <c r="C11" s="5" t="s">
        <v>10</v>
      </c>
      <c r="D11" s="5">
        <v>16.5</v>
      </c>
      <c r="E11" s="5" t="s">
        <v>8</v>
      </c>
      <c r="F11" s="6">
        <v>96</v>
      </c>
      <c r="I11" t="b">
        <f t="shared" si="0"/>
        <v>0</v>
      </c>
      <c r="K11" t="str">
        <f t="shared" si="1"/>
        <v>speed</v>
      </c>
      <c r="M11" t="str">
        <f t="shared" si="2"/>
        <v xml:space="preserve">lowcost </v>
      </c>
      <c r="O11" t="b">
        <f t="shared" si="3"/>
        <v>1</v>
      </c>
      <c r="Q11" t="b">
        <f t="shared" si="4"/>
        <v>1</v>
      </c>
      <c r="U11" t="b">
        <f t="shared" si="5"/>
        <v>0</v>
      </c>
    </row>
    <row r="12" spans="1:21" x14ac:dyDescent="0.25">
      <c r="A12" s="3" t="s">
        <v>9</v>
      </c>
      <c r="B12" s="3">
        <v>28.99</v>
      </c>
      <c r="C12" s="3" t="s">
        <v>13</v>
      </c>
      <c r="D12" s="3">
        <v>10.51</v>
      </c>
      <c r="E12" s="3" t="s">
        <v>11</v>
      </c>
      <c r="F12" s="4">
        <v>36</v>
      </c>
      <c r="I12" t="b">
        <f t="shared" si="0"/>
        <v>0</v>
      </c>
      <c r="K12" t="str">
        <f t="shared" si="1"/>
        <v>speed</v>
      </c>
      <c r="M12" t="str">
        <f t="shared" si="2"/>
        <v xml:space="preserve">lowcost </v>
      </c>
      <c r="O12" t="b">
        <f t="shared" si="3"/>
        <v>0</v>
      </c>
      <c r="Q12" t="b">
        <f t="shared" si="4"/>
        <v>0</v>
      </c>
      <c r="U12" t="b">
        <f t="shared" si="5"/>
        <v>0</v>
      </c>
    </row>
    <row r="13" spans="1:21" x14ac:dyDescent="0.25">
      <c r="A13" s="5" t="s">
        <v>9</v>
      </c>
      <c r="B13" s="5">
        <v>3.35</v>
      </c>
      <c r="C13" s="5" t="s">
        <v>10</v>
      </c>
      <c r="D13" s="5">
        <v>17.12</v>
      </c>
      <c r="E13" s="5" t="s">
        <v>11</v>
      </c>
      <c r="F13" s="6">
        <v>66</v>
      </c>
      <c r="I13" t="str">
        <f t="shared" si="0"/>
        <v>speed</v>
      </c>
      <c r="K13" t="str">
        <f t="shared" si="1"/>
        <v>normal</v>
      </c>
      <c r="M13" t="b">
        <f t="shared" si="2"/>
        <v>0</v>
      </c>
      <c r="O13" t="b">
        <f t="shared" si="3"/>
        <v>0</v>
      </c>
      <c r="Q13" t="b">
        <f t="shared" si="4"/>
        <v>0</v>
      </c>
      <c r="U13" t="b">
        <f t="shared" si="5"/>
        <v>0</v>
      </c>
    </row>
    <row r="14" spans="1:21" x14ac:dyDescent="0.25">
      <c r="A14" s="3" t="s">
        <v>12</v>
      </c>
      <c r="B14" s="3">
        <v>15.14</v>
      </c>
      <c r="C14" s="3" t="s">
        <v>7</v>
      </c>
      <c r="D14" s="3">
        <v>3.5</v>
      </c>
      <c r="E14" s="3" t="s">
        <v>11</v>
      </c>
      <c r="F14" s="4">
        <v>57</v>
      </c>
      <c r="I14" t="b">
        <f t="shared" si="0"/>
        <v>0</v>
      </c>
      <c r="K14" t="str">
        <f t="shared" si="1"/>
        <v>normal</v>
      </c>
      <c r="M14" t="str">
        <f t="shared" si="2"/>
        <v>highcost product</v>
      </c>
      <c r="O14" t="b">
        <f t="shared" si="3"/>
        <v>1</v>
      </c>
      <c r="Q14" t="b">
        <f t="shared" si="4"/>
        <v>1</v>
      </c>
      <c r="U14" t="b">
        <f t="shared" si="5"/>
        <v>0</v>
      </c>
    </row>
    <row r="15" spans="1:21" x14ac:dyDescent="0.25">
      <c r="A15" s="5" t="s">
        <v>12</v>
      </c>
      <c r="B15" s="5">
        <v>14.25</v>
      </c>
      <c r="C15" s="5" t="s">
        <v>7</v>
      </c>
      <c r="D15" s="5">
        <v>19.77</v>
      </c>
      <c r="E15" s="5" t="s">
        <v>8</v>
      </c>
      <c r="F15" s="6">
        <v>35</v>
      </c>
      <c r="I15" t="str">
        <f t="shared" si="0"/>
        <v>speed</v>
      </c>
      <c r="K15" t="str">
        <f t="shared" si="1"/>
        <v>normal</v>
      </c>
      <c r="M15" t="b">
        <f t="shared" si="2"/>
        <v>0</v>
      </c>
      <c r="O15" t="b">
        <f t="shared" si="3"/>
        <v>0</v>
      </c>
      <c r="Q15" t="b">
        <f t="shared" si="4"/>
        <v>1</v>
      </c>
      <c r="U15" t="b">
        <f t="shared" si="5"/>
        <v>1</v>
      </c>
    </row>
    <row r="16" spans="1:21" x14ac:dyDescent="0.25">
      <c r="A16" s="3" t="s">
        <v>9</v>
      </c>
      <c r="B16" s="3">
        <v>44.1</v>
      </c>
      <c r="C16" s="3" t="s">
        <v>7</v>
      </c>
      <c r="D16" s="3">
        <v>7.05</v>
      </c>
      <c r="E16" s="3" t="s">
        <v>11</v>
      </c>
      <c r="F16" s="4">
        <v>3</v>
      </c>
      <c r="I16" t="b">
        <f t="shared" si="0"/>
        <v>0</v>
      </c>
      <c r="K16" t="str">
        <f t="shared" si="1"/>
        <v>speed</v>
      </c>
      <c r="M16" t="str">
        <f t="shared" si="2"/>
        <v>highcost product</v>
      </c>
      <c r="O16" t="b">
        <f t="shared" si="3"/>
        <v>0</v>
      </c>
      <c r="Q16" t="b">
        <f t="shared" si="4"/>
        <v>1</v>
      </c>
      <c r="U16" t="b">
        <f t="shared" si="5"/>
        <v>0</v>
      </c>
    </row>
    <row r="17" spans="1:21" x14ac:dyDescent="0.25">
      <c r="A17" s="5" t="s">
        <v>9</v>
      </c>
      <c r="B17" s="5">
        <v>10.029999999999999</v>
      </c>
      <c r="C17" s="5" t="s">
        <v>10</v>
      </c>
      <c r="D17" s="5">
        <v>17.739999999999998</v>
      </c>
      <c r="E17" s="5" t="s">
        <v>11</v>
      </c>
      <c r="F17" s="6">
        <v>27</v>
      </c>
      <c r="I17" t="b">
        <f t="shared" si="0"/>
        <v>0</v>
      </c>
      <c r="K17" t="str">
        <f t="shared" si="1"/>
        <v>normal</v>
      </c>
      <c r="M17" t="str">
        <f t="shared" si="2"/>
        <v>highcost product</v>
      </c>
      <c r="O17" t="b">
        <f t="shared" si="3"/>
        <v>0</v>
      </c>
      <c r="Q17" t="b">
        <f t="shared" si="4"/>
        <v>0</v>
      </c>
      <c r="U17" t="b">
        <f t="shared" si="5"/>
        <v>0</v>
      </c>
    </row>
    <row r="18" spans="1:21" x14ac:dyDescent="0.25">
      <c r="A18" s="3" t="s">
        <v>12</v>
      </c>
      <c r="B18" s="3">
        <v>1.68</v>
      </c>
      <c r="C18" s="3" t="s">
        <v>10</v>
      </c>
      <c r="D18" s="3">
        <v>11.08</v>
      </c>
      <c r="E18" s="3" t="s">
        <v>11</v>
      </c>
      <c r="F18" s="4">
        <v>92</v>
      </c>
      <c r="I18" t="b">
        <f t="shared" si="0"/>
        <v>0</v>
      </c>
      <c r="K18" t="str">
        <f t="shared" si="1"/>
        <v>normal</v>
      </c>
      <c r="M18" t="str">
        <f t="shared" si="2"/>
        <v>highcost product</v>
      </c>
      <c r="O18" t="b">
        <f t="shared" si="3"/>
        <v>0</v>
      </c>
      <c r="Q18" t="b">
        <f t="shared" si="4"/>
        <v>0</v>
      </c>
      <c r="U18" t="b">
        <f t="shared" si="5"/>
        <v>0</v>
      </c>
    </row>
    <row r="19" spans="1:21" x14ac:dyDescent="0.25">
      <c r="A19" s="5" t="s">
        <v>12</v>
      </c>
      <c r="B19" s="5">
        <v>2.4</v>
      </c>
      <c r="C19" s="5" t="s">
        <v>13</v>
      </c>
      <c r="D19" s="5">
        <v>10.33</v>
      </c>
      <c r="E19" s="5" t="s">
        <v>8</v>
      </c>
      <c r="F19" s="6">
        <v>72</v>
      </c>
      <c r="I19" t="b">
        <f t="shared" si="0"/>
        <v>0</v>
      </c>
      <c r="K19" t="str">
        <f t="shared" si="1"/>
        <v>normal</v>
      </c>
      <c r="M19" t="b">
        <f t="shared" si="2"/>
        <v>0</v>
      </c>
      <c r="O19" t="b">
        <f t="shared" si="3"/>
        <v>0</v>
      </c>
      <c r="Q19" t="b">
        <f t="shared" si="4"/>
        <v>1</v>
      </c>
      <c r="U19" t="b">
        <f t="shared" si="5"/>
        <v>1</v>
      </c>
    </row>
    <row r="20" spans="1:21" x14ac:dyDescent="0.25">
      <c r="A20" s="3" t="s">
        <v>6</v>
      </c>
      <c r="B20" s="3">
        <v>36.33</v>
      </c>
      <c r="C20" s="3" t="s">
        <v>10</v>
      </c>
      <c r="D20" s="3">
        <v>1.95</v>
      </c>
      <c r="E20" s="3" t="s">
        <v>8</v>
      </c>
      <c r="F20" s="4">
        <v>64</v>
      </c>
      <c r="I20" t="b">
        <f t="shared" si="0"/>
        <v>0</v>
      </c>
      <c r="K20" t="str">
        <f t="shared" si="1"/>
        <v>normal</v>
      </c>
      <c r="M20" t="str">
        <f t="shared" si="2"/>
        <v>highcost product</v>
      </c>
      <c r="O20" t="b">
        <f t="shared" si="3"/>
        <v>0</v>
      </c>
      <c r="Q20" t="b">
        <f t="shared" si="4"/>
        <v>1</v>
      </c>
      <c r="U20" t="b">
        <f t="shared" si="5"/>
        <v>0</v>
      </c>
    </row>
    <row r="21" spans="1:21" x14ac:dyDescent="0.25">
      <c r="A21" s="5" t="s">
        <v>9</v>
      </c>
      <c r="B21" s="5">
        <v>20.309999999999999</v>
      </c>
      <c r="C21" s="5" t="s">
        <v>13</v>
      </c>
      <c r="D21" s="5">
        <v>16.78</v>
      </c>
      <c r="E21" s="5" t="s">
        <v>8</v>
      </c>
      <c r="F21" s="6">
        <v>98</v>
      </c>
      <c r="I21" t="b">
        <f t="shared" si="0"/>
        <v>0</v>
      </c>
      <c r="K21" t="str">
        <f t="shared" si="1"/>
        <v>speed</v>
      </c>
      <c r="M21" t="str">
        <f t="shared" si="2"/>
        <v>highcost product</v>
      </c>
      <c r="O21" t="b">
        <f t="shared" si="3"/>
        <v>0</v>
      </c>
      <c r="Q21" t="b">
        <f t="shared" si="4"/>
        <v>1</v>
      </c>
      <c r="U21" t="b">
        <f t="shared" si="5"/>
        <v>1</v>
      </c>
    </row>
    <row r="22" spans="1:21" x14ac:dyDescent="0.25">
      <c r="A22" s="3" t="s">
        <v>12</v>
      </c>
      <c r="B22" s="3">
        <v>9.2899999999999991</v>
      </c>
      <c r="C22" s="3" t="s">
        <v>7</v>
      </c>
      <c r="D22" s="3">
        <v>10.19</v>
      </c>
      <c r="E22" s="3" t="s">
        <v>8</v>
      </c>
      <c r="F22" s="4">
        <v>97</v>
      </c>
      <c r="I22" t="str">
        <f t="shared" si="0"/>
        <v>speed</v>
      </c>
      <c r="K22" t="str">
        <f t="shared" si="1"/>
        <v>normal</v>
      </c>
      <c r="M22" t="str">
        <f t="shared" si="2"/>
        <v>highcost product</v>
      </c>
      <c r="O22" t="b">
        <f t="shared" si="3"/>
        <v>0</v>
      </c>
      <c r="Q22" t="b">
        <f t="shared" si="4"/>
        <v>0</v>
      </c>
      <c r="U22" t="b">
        <f t="shared" si="5"/>
        <v>0</v>
      </c>
    </row>
    <row r="23" spans="1:21" x14ac:dyDescent="0.25">
      <c r="A23" s="5" t="s">
        <v>6</v>
      </c>
      <c r="B23" s="5">
        <v>21.4</v>
      </c>
      <c r="C23" s="5" t="s">
        <v>10</v>
      </c>
      <c r="D23" s="5">
        <v>13.52</v>
      </c>
      <c r="E23" s="5" t="s">
        <v>8</v>
      </c>
      <c r="F23" s="6">
        <v>42</v>
      </c>
      <c r="O23" t="b">
        <f t="shared" si="3"/>
        <v>1</v>
      </c>
      <c r="Q23" t="b">
        <f t="shared" si="4"/>
        <v>1</v>
      </c>
      <c r="U23" t="b">
        <f t="shared" si="5"/>
        <v>1</v>
      </c>
    </row>
    <row r="24" spans="1:21" x14ac:dyDescent="0.25">
      <c r="A24" s="3" t="s">
        <v>12</v>
      </c>
      <c r="B24" s="3">
        <v>25.57</v>
      </c>
      <c r="C24" s="3" t="s">
        <v>7</v>
      </c>
      <c r="D24" s="3">
        <v>6.63</v>
      </c>
      <c r="E24" s="3" t="s">
        <v>8</v>
      </c>
      <c r="F24" s="4">
        <v>49</v>
      </c>
      <c r="O24" t="b">
        <f t="shared" si="3"/>
        <v>0</v>
      </c>
      <c r="U24" t="b">
        <f t="shared" si="5"/>
        <v>1</v>
      </c>
    </row>
    <row r="25" spans="1:21" x14ac:dyDescent="0.25">
      <c r="A25" s="5" t="s">
        <v>6</v>
      </c>
      <c r="B25" s="5">
        <v>31.41</v>
      </c>
      <c r="C25" s="5" t="s">
        <v>13</v>
      </c>
      <c r="D25" s="5">
        <v>8.27</v>
      </c>
      <c r="E25" s="5" t="s">
        <v>8</v>
      </c>
      <c r="F25" s="6">
        <v>75</v>
      </c>
      <c r="O25" t="b">
        <f t="shared" si="3"/>
        <v>0</v>
      </c>
      <c r="U25" t="b">
        <f t="shared" si="5"/>
        <v>0</v>
      </c>
    </row>
    <row r="26" spans="1:21" x14ac:dyDescent="0.25">
      <c r="A26" s="3" t="s">
        <v>12</v>
      </c>
      <c r="B26" s="3">
        <v>32.96</v>
      </c>
      <c r="C26" s="3" t="s">
        <v>7</v>
      </c>
      <c r="D26" s="3">
        <v>10.98</v>
      </c>
      <c r="E26" s="3" t="s">
        <v>8</v>
      </c>
      <c r="F26" s="4">
        <v>52</v>
      </c>
      <c r="K26" t="str">
        <f>IF(C2=C7,"s","n")</f>
        <v>n</v>
      </c>
      <c r="O26" t="b">
        <f t="shared" si="3"/>
        <v>1</v>
      </c>
      <c r="U26" t="b">
        <f t="shared" si="5"/>
        <v>1</v>
      </c>
    </row>
    <row r="27" spans="1:21" x14ac:dyDescent="0.25">
      <c r="A27" s="5" t="s">
        <v>9</v>
      </c>
      <c r="B27" s="5">
        <v>44.88</v>
      </c>
      <c r="C27" s="5" t="s">
        <v>13</v>
      </c>
      <c r="D27" s="5">
        <v>7.81</v>
      </c>
      <c r="E27" s="5" t="s">
        <v>8</v>
      </c>
      <c r="F27" s="6">
        <v>77</v>
      </c>
      <c r="O27" t="b">
        <f t="shared" si="3"/>
        <v>0</v>
      </c>
      <c r="U27" t="b">
        <f t="shared" si="5"/>
        <v>0</v>
      </c>
    </row>
    <row r="28" spans="1:21" x14ac:dyDescent="0.25">
      <c r="A28" s="3" t="s">
        <v>6</v>
      </c>
      <c r="B28" s="3">
        <v>47.31</v>
      </c>
      <c r="C28" s="3" t="s">
        <v>13</v>
      </c>
      <c r="D28" s="3">
        <v>9.26</v>
      </c>
      <c r="E28" s="3" t="s">
        <v>8</v>
      </c>
      <c r="F28" s="4">
        <v>74</v>
      </c>
    </row>
    <row r="29" spans="1:21" x14ac:dyDescent="0.25">
      <c r="A29" s="5" t="s">
        <v>6</v>
      </c>
      <c r="B29" s="5">
        <v>26.67</v>
      </c>
      <c r="C29" s="5" t="s">
        <v>10</v>
      </c>
      <c r="D29" s="5">
        <v>13.28</v>
      </c>
      <c r="E29" s="5" t="s">
        <v>11</v>
      </c>
      <c r="F29" s="6">
        <v>81</v>
      </c>
    </row>
    <row r="30" spans="1:21" x14ac:dyDescent="0.25">
      <c r="A30" s="3" t="s">
        <v>9</v>
      </c>
      <c r="B30" s="3">
        <v>20.57</v>
      </c>
      <c r="C30" s="3" t="s">
        <v>7</v>
      </c>
      <c r="D30" s="3">
        <v>11.18</v>
      </c>
      <c r="E30" s="3" t="s">
        <v>11</v>
      </c>
      <c r="F30" s="4">
        <v>1</v>
      </c>
      <c r="I30" t="s">
        <v>43</v>
      </c>
    </row>
    <row r="31" spans="1:21" x14ac:dyDescent="0.25">
      <c r="A31" s="5" t="s">
        <v>9</v>
      </c>
      <c r="B31" s="5">
        <v>16.66</v>
      </c>
      <c r="C31" s="5" t="s">
        <v>13</v>
      </c>
      <c r="D31" s="5">
        <v>6.83</v>
      </c>
      <c r="E31" s="5" t="s">
        <v>11</v>
      </c>
      <c r="F31" s="6">
        <v>12</v>
      </c>
      <c r="H31">
        <v>1</v>
      </c>
      <c r="I31" t="str" cm="1">
        <f t="array" ref="I31">_xlfn.SWITCH(H31,1,"sun",2,"mon",3,"tue",3,"wed",4,"thur",5,"")</f>
        <v>sun</v>
      </c>
    </row>
    <row r="32" spans="1:21" x14ac:dyDescent="0.25">
      <c r="A32" s="3" t="s">
        <v>6</v>
      </c>
      <c r="B32" s="3">
        <v>42.28</v>
      </c>
      <c r="C32" s="3" t="s">
        <v>7</v>
      </c>
      <c r="D32" s="3">
        <v>5.0999999999999996</v>
      </c>
      <c r="E32" s="3" t="s">
        <v>8</v>
      </c>
      <c r="F32" s="4">
        <v>74</v>
      </c>
      <c r="H32">
        <v>2</v>
      </c>
      <c r="I32" t="str" cm="1">
        <f t="array" ref="I32">_xlfn.SWITCH(H32,1,"sun",2,"mon",3,"tue",3,"wed",4,"thur",5,"")</f>
        <v>mon</v>
      </c>
    </row>
    <row r="33" spans="1:9" x14ac:dyDescent="0.25">
      <c r="A33" s="5" t="s">
        <v>12</v>
      </c>
      <c r="B33" s="5">
        <v>14.21</v>
      </c>
      <c r="C33" s="5" t="s">
        <v>13</v>
      </c>
      <c r="D33" s="5">
        <v>16.649999999999999</v>
      </c>
      <c r="E33" s="5" t="s">
        <v>11</v>
      </c>
      <c r="F33" s="6">
        <v>99</v>
      </c>
      <c r="H33">
        <v>3</v>
      </c>
      <c r="I33" t="str" cm="1">
        <f t="array" ref="I33">_xlfn.SWITCH(H33,1,"sun",2,"mon",3,"tue",3,"wed",4,"thur",5,"")</f>
        <v>tue</v>
      </c>
    </row>
    <row r="34" spans="1:9" x14ac:dyDescent="0.25">
      <c r="A34" s="3" t="s">
        <v>12</v>
      </c>
      <c r="B34" s="3">
        <v>26.19</v>
      </c>
      <c r="C34" s="3" t="s">
        <v>10</v>
      </c>
      <c r="D34" s="3">
        <v>16.04</v>
      </c>
      <c r="E34" s="3" t="s">
        <v>8</v>
      </c>
      <c r="F34" s="4">
        <v>76</v>
      </c>
      <c r="H34">
        <v>4</v>
      </c>
      <c r="I34" t="str" cm="1">
        <f t="array" ref="I34">_xlfn.SWITCH(H34,1,"sun",2,"mon",3,"tue",3,"wed",4,"thur",5,"")</f>
        <v>thur</v>
      </c>
    </row>
    <row r="35" spans="1:9" x14ac:dyDescent="0.25">
      <c r="A35" s="5" t="s">
        <v>9</v>
      </c>
      <c r="B35" s="5">
        <v>19.440000000000001</v>
      </c>
      <c r="C35" s="5" t="s">
        <v>13</v>
      </c>
      <c r="D35" s="5">
        <v>11.99</v>
      </c>
      <c r="E35" s="5" t="s">
        <v>8</v>
      </c>
      <c r="F35" s="6">
        <v>91</v>
      </c>
      <c r="H35">
        <v>5</v>
      </c>
      <c r="I35" t="str" cm="1">
        <f t="array" ref="I35">_xlfn.SWITCH(H35,1,"sun",2,"mon",3,"tue",3,"wed",4,"thur",5,"")</f>
        <v/>
      </c>
    </row>
    <row r="36" spans="1:9" x14ac:dyDescent="0.25">
      <c r="H36">
        <v>6</v>
      </c>
      <c r="I36" t="e" cm="1">
        <f t="array" ref="I36">_xlfn.SWITCH(H36,1,"sun",2,"mon",3,"tue",3,"wed",4,"thur",5,"")</f>
        <v>#N/A</v>
      </c>
    </row>
    <row r="37" spans="1:9" x14ac:dyDescent="0.25">
      <c r="H37">
        <v>7</v>
      </c>
      <c r="I37" t="e" cm="1">
        <f t="array" ref="I37">_xlfn.SWITCH(H37,1,"sun",2,"mon",3,"tue",3,"wed",4,"thur",5,"")</f>
        <v>#N/A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A2C82-1754-49C6-A166-EE58F9DF280D}">
  <dimension ref="J8:P26"/>
  <sheetViews>
    <sheetView tabSelected="1" topLeftCell="A10" workbookViewId="0">
      <selection activeCell="R20" sqref="R20"/>
    </sheetView>
  </sheetViews>
  <sheetFormatPr defaultRowHeight="15" x14ac:dyDescent="0.25"/>
  <cols>
    <col min="11" max="11" width="17.28515625" customWidth="1"/>
    <col min="12" max="12" width="19.7109375" customWidth="1"/>
    <col min="13" max="13" width="20.28515625" customWidth="1"/>
  </cols>
  <sheetData>
    <row r="8" spans="10:16" x14ac:dyDescent="0.25">
      <c r="J8" s="19"/>
      <c r="K8" s="19"/>
      <c r="L8" s="19"/>
      <c r="M8" s="19"/>
      <c r="N8" s="19"/>
      <c r="O8" s="19"/>
      <c r="P8" s="19"/>
    </row>
    <row r="9" spans="10:16" x14ac:dyDescent="0.25">
      <c r="J9" s="19"/>
      <c r="K9" s="19"/>
      <c r="L9" s="19"/>
      <c r="M9" s="19"/>
      <c r="N9" s="19"/>
      <c r="O9" s="19"/>
      <c r="P9" s="19"/>
    </row>
    <row r="10" spans="10:16" x14ac:dyDescent="0.25">
      <c r="J10" s="19"/>
      <c r="K10" s="19"/>
      <c r="L10" s="19"/>
      <c r="M10" s="19"/>
      <c r="N10" s="19"/>
      <c r="O10" s="19"/>
      <c r="P10" s="19"/>
    </row>
    <row r="11" spans="10:16" x14ac:dyDescent="0.25">
      <c r="J11" s="19"/>
      <c r="K11" s="19" t="s">
        <v>66</v>
      </c>
      <c r="L11" s="19" t="s">
        <v>71</v>
      </c>
      <c r="M11" s="19" t="s">
        <v>70</v>
      </c>
      <c r="N11" s="19"/>
      <c r="O11" s="19"/>
      <c r="P11" s="19"/>
    </row>
    <row r="12" spans="10:16" ht="66.75" customHeight="1" x14ac:dyDescent="0.25">
      <c r="J12" s="19"/>
      <c r="K12" s="19" t="s">
        <v>67</v>
      </c>
      <c r="L12" s="19"/>
      <c r="M12" s="19">
        <v>10000232000</v>
      </c>
      <c r="N12" s="19"/>
      <c r="O12" s="19"/>
      <c r="P12" s="19"/>
    </row>
    <row r="13" spans="10:16" ht="54.75" customHeight="1" x14ac:dyDescent="0.25">
      <c r="J13" s="19"/>
      <c r="K13" s="19" t="s">
        <v>68</v>
      </c>
      <c r="L13" s="19"/>
      <c r="M13" s="19">
        <v>11920544833</v>
      </c>
      <c r="N13" s="19"/>
      <c r="O13" s="19"/>
      <c r="P13" s="19"/>
    </row>
    <row r="14" spans="10:16" ht="77.25" customHeight="1" x14ac:dyDescent="0.25">
      <c r="J14" s="19"/>
      <c r="K14" s="19" t="s">
        <v>69</v>
      </c>
      <c r="L14" s="19"/>
      <c r="M14" s="19">
        <v>3640000343</v>
      </c>
      <c r="N14" s="19"/>
      <c r="O14" s="19"/>
      <c r="P14" s="19"/>
    </row>
    <row r="15" spans="10:16" x14ac:dyDescent="0.25">
      <c r="J15" s="19"/>
      <c r="K15" s="19"/>
      <c r="L15" s="19"/>
      <c r="M15" s="19"/>
      <c r="N15" s="19"/>
      <c r="O15" s="19"/>
      <c r="P15" s="19"/>
    </row>
    <row r="16" spans="10:16" x14ac:dyDescent="0.25">
      <c r="J16" s="19"/>
      <c r="K16" s="19"/>
      <c r="L16" s="19"/>
      <c r="M16" s="19"/>
      <c r="N16" s="19"/>
      <c r="O16" s="19"/>
      <c r="P16" s="19"/>
    </row>
    <row r="17" spans="10:16" x14ac:dyDescent="0.25">
      <c r="J17" s="19"/>
      <c r="K17" s="19"/>
      <c r="L17" s="19"/>
      <c r="M17" s="19"/>
      <c r="N17" s="19"/>
      <c r="O17" s="19"/>
      <c r="P17" s="19"/>
    </row>
    <row r="18" spans="10:16" x14ac:dyDescent="0.25">
      <c r="J18" s="19"/>
      <c r="K18" s="19"/>
      <c r="L18" s="19"/>
      <c r="M18" s="19"/>
      <c r="N18" s="19"/>
      <c r="O18" s="19"/>
      <c r="P18" s="19"/>
    </row>
    <row r="19" spans="10:16" x14ac:dyDescent="0.25">
      <c r="J19" s="19"/>
      <c r="K19" s="19"/>
      <c r="L19" s="19"/>
      <c r="M19" s="19"/>
      <c r="N19" s="19"/>
      <c r="O19" s="19"/>
      <c r="P19" s="19"/>
    </row>
    <row r="20" spans="10:16" x14ac:dyDescent="0.25">
      <c r="J20" s="19"/>
      <c r="K20" s="19"/>
      <c r="L20" s="19"/>
      <c r="M20" s="19"/>
      <c r="N20" s="19"/>
      <c r="O20" s="19"/>
      <c r="P20" s="19"/>
    </row>
    <row r="21" spans="10:16" x14ac:dyDescent="0.25">
      <c r="J21" s="19"/>
      <c r="K21" s="19"/>
      <c r="L21" s="19"/>
      <c r="M21" s="19"/>
      <c r="N21" s="19"/>
      <c r="O21" s="19"/>
      <c r="P21" s="19"/>
    </row>
    <row r="22" spans="10:16" x14ac:dyDescent="0.25">
      <c r="J22" s="19"/>
      <c r="K22" s="19"/>
      <c r="L22" s="19"/>
      <c r="M22" s="19"/>
      <c r="N22" s="19"/>
      <c r="O22" s="19"/>
      <c r="P22" s="19"/>
    </row>
    <row r="23" spans="10:16" x14ac:dyDescent="0.25">
      <c r="J23" s="19"/>
      <c r="K23" s="19"/>
      <c r="L23" s="19"/>
      <c r="M23" s="19"/>
      <c r="N23" s="19"/>
      <c r="O23" s="19"/>
      <c r="P23" s="19"/>
    </row>
    <row r="24" spans="10:16" x14ac:dyDescent="0.25">
      <c r="J24" s="19"/>
      <c r="K24" s="19"/>
      <c r="L24" s="19"/>
      <c r="M24" s="19"/>
      <c r="N24" s="19"/>
      <c r="O24" s="19"/>
      <c r="P24" s="19"/>
    </row>
    <row r="25" spans="10:16" x14ac:dyDescent="0.25">
      <c r="J25" s="19"/>
      <c r="K25" s="19"/>
      <c r="L25" s="19"/>
      <c r="M25" s="19"/>
      <c r="N25" s="19"/>
      <c r="O25" s="19"/>
      <c r="P25" s="19"/>
    </row>
    <row r="26" spans="10:16" x14ac:dyDescent="0.25">
      <c r="J26" s="19"/>
      <c r="K26" s="19"/>
      <c r="L26" s="19"/>
      <c r="M26" s="19"/>
      <c r="N26" s="19"/>
      <c r="O26" s="19"/>
      <c r="P26" s="19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085A1-F2F2-427F-BE0B-36E69BF75E3D}">
  <dimension ref="A1:P36"/>
  <sheetViews>
    <sheetView topLeftCell="A4" workbookViewId="0">
      <selection activeCell="J12" sqref="J12"/>
    </sheetView>
  </sheetViews>
  <sheetFormatPr defaultRowHeight="15" x14ac:dyDescent="0.25"/>
  <cols>
    <col min="1" max="1" width="18.85546875" customWidth="1"/>
    <col min="2" max="2" width="15.140625" customWidth="1"/>
    <col min="3" max="3" width="18.42578125" customWidth="1"/>
    <col min="4" max="4" width="13.5703125" customWidth="1"/>
    <col min="5" max="5" width="13.28515625" customWidth="1"/>
    <col min="6" max="6" width="17.7109375" customWidth="1"/>
    <col min="7" max="7" width="22.7109375" bestFit="1" customWidth="1"/>
    <col min="9" max="9" width="12" bestFit="1" customWidth="1"/>
    <col min="15" max="15" width="12.7109375" bestFit="1" customWidth="1"/>
    <col min="17" max="17" width="12" bestFit="1" customWidth="1"/>
    <col min="19" max="19" width="12" bestFit="1" customWidth="1"/>
  </cols>
  <sheetData>
    <row r="1" spans="1:16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4" t="s">
        <v>64</v>
      </c>
    </row>
    <row r="2" spans="1:16" x14ac:dyDescent="0.25">
      <c r="A2" s="3" t="s">
        <v>6</v>
      </c>
      <c r="B2" s="3">
        <v>23.32</v>
      </c>
      <c r="C2" s="3" t="s">
        <v>7</v>
      </c>
      <c r="D2" s="3">
        <v>4.49</v>
      </c>
      <c r="E2" s="3" t="s">
        <v>8</v>
      </c>
      <c r="F2" s="4">
        <v>56</v>
      </c>
      <c r="G2" cm="1">
        <f t="array" ref="G2">_xlfn.SWITCH(Table14[[#This Row],[Seasonality]],"Yes",1,0)</f>
        <v>1</v>
      </c>
    </row>
    <row r="3" spans="1:16" x14ac:dyDescent="0.25">
      <c r="A3" s="5" t="s">
        <v>9</v>
      </c>
      <c r="B3" s="5">
        <v>20.88</v>
      </c>
      <c r="C3" s="5" t="s">
        <v>10</v>
      </c>
      <c r="D3" s="5">
        <v>16.11</v>
      </c>
      <c r="E3" s="5" t="s">
        <v>11</v>
      </c>
      <c r="F3" s="6">
        <v>79</v>
      </c>
      <c r="G3" cm="1">
        <f t="array" ref="G3">_xlfn.SWITCH(Table14[[#This Row],[Seasonality]],"Yes",1,0)</f>
        <v>0</v>
      </c>
    </row>
    <row r="4" spans="1:16" x14ac:dyDescent="0.25">
      <c r="A4" s="3" t="s">
        <v>12</v>
      </c>
      <c r="B4" s="3">
        <v>16.43</v>
      </c>
      <c r="C4" s="3" t="s">
        <v>7</v>
      </c>
      <c r="D4" s="3">
        <v>4.93</v>
      </c>
      <c r="E4" s="3" t="s">
        <v>11</v>
      </c>
      <c r="F4" s="4">
        <v>40</v>
      </c>
      <c r="G4" cm="1">
        <f t="array" ref="G4">_xlfn.SWITCH(Table14[[#This Row],[Seasonality]],"Yes",1,0)</f>
        <v>0</v>
      </c>
    </row>
    <row r="5" spans="1:16" x14ac:dyDescent="0.25">
      <c r="A5" s="5" t="s">
        <v>9</v>
      </c>
      <c r="B5" s="5">
        <v>27.49</v>
      </c>
      <c r="C5" s="5" t="s">
        <v>7</v>
      </c>
      <c r="D5" s="5">
        <v>1.31</v>
      </c>
      <c r="E5" s="5" t="s">
        <v>11</v>
      </c>
      <c r="F5" s="6">
        <v>93</v>
      </c>
      <c r="G5" cm="1">
        <f t="array" ref="G5">_xlfn.SWITCH(Table14[[#This Row],[Seasonality]],"Yes",1,0)</f>
        <v>0</v>
      </c>
    </row>
    <row r="6" spans="1:16" x14ac:dyDescent="0.25">
      <c r="A6" s="3" t="s">
        <v>6</v>
      </c>
      <c r="B6" s="3">
        <v>45.93</v>
      </c>
      <c r="C6" s="3" t="s">
        <v>10</v>
      </c>
      <c r="D6" s="3">
        <v>4.37</v>
      </c>
      <c r="E6" s="3" t="s">
        <v>11</v>
      </c>
      <c r="F6" s="4">
        <v>56</v>
      </c>
      <c r="G6" cm="1">
        <f t="array" ref="G6">_xlfn.SWITCH(Table14[[#This Row],[Seasonality]],"Yes",1,0)</f>
        <v>0</v>
      </c>
    </row>
    <row r="7" spans="1:16" x14ac:dyDescent="0.25">
      <c r="A7" s="5" t="s">
        <v>9</v>
      </c>
      <c r="B7" s="5">
        <v>40.119999999999997</v>
      </c>
      <c r="C7" s="5" t="s">
        <v>13</v>
      </c>
      <c r="D7" s="5">
        <v>19.03</v>
      </c>
      <c r="E7" s="5" t="s">
        <v>11</v>
      </c>
      <c r="F7" s="6">
        <v>91</v>
      </c>
      <c r="G7" cm="1">
        <f t="array" ref="G7">_xlfn.SWITCH(Table14[[#This Row],[Seasonality]],"Yes",1,0)</f>
        <v>0</v>
      </c>
    </row>
    <row r="8" spans="1:16" x14ac:dyDescent="0.25">
      <c r="A8" s="3" t="s">
        <v>9</v>
      </c>
      <c r="B8" s="3">
        <v>35.909999999999997</v>
      </c>
      <c r="C8" s="3" t="s">
        <v>10</v>
      </c>
      <c r="D8" s="3">
        <v>17.73</v>
      </c>
      <c r="E8" s="3" t="s">
        <v>8</v>
      </c>
      <c r="F8" s="4">
        <v>41</v>
      </c>
      <c r="G8" cm="1">
        <f t="array" ref="G8">_xlfn.SWITCH(Table14[[#This Row],[Seasonality]],"Yes",1,0)</f>
        <v>1</v>
      </c>
      <c r="J8" t="s">
        <v>56</v>
      </c>
      <c r="K8" t="s">
        <v>57</v>
      </c>
    </row>
    <row r="9" spans="1:16" x14ac:dyDescent="0.25">
      <c r="A9" s="5" t="s">
        <v>6</v>
      </c>
      <c r="B9" s="5">
        <v>46.42</v>
      </c>
      <c r="C9" s="5" t="s">
        <v>7</v>
      </c>
      <c r="D9" s="5">
        <v>4.79</v>
      </c>
      <c r="E9" s="5" t="s">
        <v>11</v>
      </c>
      <c r="F9" s="6">
        <v>60</v>
      </c>
      <c r="G9" cm="1">
        <f t="array" ref="G9">_xlfn.SWITCH(Table14[[#This Row],[Seasonality]],"Yes",1,0)</f>
        <v>0</v>
      </c>
      <c r="J9" t="s">
        <v>58</v>
      </c>
      <c r="K9" t="s">
        <v>59</v>
      </c>
    </row>
    <row r="10" spans="1:16" x14ac:dyDescent="0.25">
      <c r="A10" s="3" t="s">
        <v>6</v>
      </c>
      <c r="B10" s="3">
        <v>33.1</v>
      </c>
      <c r="C10" s="3" t="s">
        <v>13</v>
      </c>
      <c r="D10" s="3">
        <v>2.5499999999999998</v>
      </c>
      <c r="E10" s="3" t="s">
        <v>8</v>
      </c>
      <c r="F10" s="4">
        <v>90</v>
      </c>
      <c r="G10" cm="1">
        <f t="array" ref="G10">_xlfn.SWITCH(Table14[[#This Row],[Seasonality]],"Yes",1,0)</f>
        <v>1</v>
      </c>
      <c r="J10" t="s">
        <v>61</v>
      </c>
      <c r="K10" t="s">
        <v>60</v>
      </c>
    </row>
    <row r="11" spans="1:16" x14ac:dyDescent="0.25">
      <c r="A11" s="5" t="s">
        <v>9</v>
      </c>
      <c r="B11" s="5">
        <v>5.25</v>
      </c>
      <c r="C11" s="5" t="s">
        <v>10</v>
      </c>
      <c r="D11" s="5">
        <v>16.5</v>
      </c>
      <c r="E11" s="5" t="s">
        <v>8</v>
      </c>
      <c r="F11" s="6">
        <v>96</v>
      </c>
      <c r="G11" cm="1">
        <f t="array" ref="G11">_xlfn.SWITCH(Table14[[#This Row],[Seasonality]],"Yes",1,0)</f>
        <v>1</v>
      </c>
      <c r="J11" t="s">
        <v>62</v>
      </c>
      <c r="K11" t="s">
        <v>63</v>
      </c>
    </row>
    <row r="12" spans="1:16" x14ac:dyDescent="0.25">
      <c r="A12" s="3" t="s">
        <v>9</v>
      </c>
      <c r="B12" s="3">
        <v>28.99</v>
      </c>
      <c r="C12" s="3" t="s">
        <v>13</v>
      </c>
      <c r="D12" s="3">
        <v>10.51</v>
      </c>
      <c r="E12" s="3" t="s">
        <v>11</v>
      </c>
      <c r="F12" s="4">
        <v>36</v>
      </c>
      <c r="G12" cm="1">
        <f t="array" ref="G12">_xlfn.SWITCH(Table14[[#This Row],[Seasonality]],"Yes",1,0)</f>
        <v>0</v>
      </c>
      <c r="J12" t="s">
        <v>65</v>
      </c>
    </row>
    <row r="13" spans="1:16" x14ac:dyDescent="0.25">
      <c r="A13" s="5" t="s">
        <v>9</v>
      </c>
      <c r="B13" s="5">
        <v>3.35</v>
      </c>
      <c r="C13" s="5" t="s">
        <v>10</v>
      </c>
      <c r="D13" s="5">
        <v>17.12</v>
      </c>
      <c r="E13" s="5" t="s">
        <v>11</v>
      </c>
      <c r="F13" s="6">
        <v>66</v>
      </c>
      <c r="G13" cm="1">
        <f t="array" ref="G13">_xlfn.SWITCH(Table14[[#This Row],[Seasonality]],"Yes",1,0)</f>
        <v>0</v>
      </c>
    </row>
    <row r="14" spans="1:16" x14ac:dyDescent="0.25">
      <c r="A14" s="3" t="s">
        <v>12</v>
      </c>
      <c r="B14" s="3">
        <v>15.14</v>
      </c>
      <c r="C14" s="3" t="s">
        <v>7</v>
      </c>
      <c r="D14" s="3">
        <v>3.5</v>
      </c>
      <c r="E14" s="3" t="s">
        <v>11</v>
      </c>
      <c r="F14" s="4">
        <v>57</v>
      </c>
      <c r="G14" cm="1">
        <f t="array" ref="G14">_xlfn.SWITCH(Table14[[#This Row],[Seasonality]],"Yes",1,0)</f>
        <v>0</v>
      </c>
    </row>
    <row r="15" spans="1:16" x14ac:dyDescent="0.25">
      <c r="A15" s="5" t="s">
        <v>12</v>
      </c>
      <c r="B15" s="5">
        <v>14.25</v>
      </c>
      <c r="C15" s="5" t="s">
        <v>7</v>
      </c>
      <c r="D15" s="5">
        <v>19.77</v>
      </c>
      <c r="E15" s="5" t="s">
        <v>8</v>
      </c>
      <c r="F15" s="6">
        <v>35</v>
      </c>
      <c r="G15" cm="1">
        <f t="array" ref="G15">_xlfn.SWITCH(Table14[[#This Row],[Seasonality]],"Yes",1,0)</f>
        <v>1</v>
      </c>
      <c r="J15" s="17" t="s">
        <v>44</v>
      </c>
      <c r="L15" s="17" t="s">
        <v>46</v>
      </c>
      <c r="N15" s="17" t="s">
        <v>45</v>
      </c>
      <c r="P15" s="17" t="s">
        <v>47</v>
      </c>
    </row>
    <row r="16" spans="1:16" x14ac:dyDescent="0.25">
      <c r="A16" s="3" t="s">
        <v>9</v>
      </c>
      <c r="B16" s="3">
        <v>44.1</v>
      </c>
      <c r="C16" s="3" t="s">
        <v>7</v>
      </c>
      <c r="D16" s="3">
        <v>7.05</v>
      </c>
      <c r="E16" s="3" t="s">
        <v>11</v>
      </c>
      <c r="F16" s="4">
        <v>3</v>
      </c>
      <c r="G16" cm="1">
        <f t="array" ref="G16">_xlfn.SWITCH(Table14[[#This Row],[Seasonality]],"Yes",1,0)</f>
        <v>0</v>
      </c>
      <c r="J16" s="18">
        <f>COUNT(F2:F35)</f>
        <v>34</v>
      </c>
      <c r="L16" s="18">
        <f>COUNTA(A2:A35)</f>
        <v>34</v>
      </c>
      <c r="N16" s="18">
        <f>COUNTBLANK(F3:F36)</f>
        <v>1</v>
      </c>
      <c r="P16" s="18">
        <f>COUNTIFS(F2:F35,"&gt;45")</f>
        <v>25</v>
      </c>
    </row>
    <row r="17" spans="1:16" x14ac:dyDescent="0.25">
      <c r="A17" s="5" t="s">
        <v>9</v>
      </c>
      <c r="B17" s="5">
        <v>10.029999999999999</v>
      </c>
      <c r="C17" s="5" t="s">
        <v>10</v>
      </c>
      <c r="D17" s="5">
        <v>17.739999999999998</v>
      </c>
      <c r="E17" s="5" t="s">
        <v>11</v>
      </c>
      <c r="F17" s="6">
        <v>27</v>
      </c>
      <c r="G17" cm="1">
        <f t="array" ref="G17">_xlfn.SWITCH(Table14[[#This Row],[Seasonality]],"Yes",1,0)</f>
        <v>0</v>
      </c>
    </row>
    <row r="18" spans="1:16" x14ac:dyDescent="0.25">
      <c r="A18" s="3" t="s">
        <v>12</v>
      </c>
      <c r="B18" s="3">
        <v>1.68</v>
      </c>
      <c r="C18" s="3" t="s">
        <v>10</v>
      </c>
      <c r="D18" s="3">
        <v>11.08</v>
      </c>
      <c r="E18" s="3" t="s">
        <v>11</v>
      </c>
      <c r="F18" s="4">
        <v>92</v>
      </c>
      <c r="G18" cm="1">
        <f t="array" ref="G18">_xlfn.SWITCH(Table14[[#This Row],[Seasonality]],"Yes",1,0)</f>
        <v>0</v>
      </c>
    </row>
    <row r="19" spans="1:16" x14ac:dyDescent="0.25">
      <c r="A19" s="5" t="s">
        <v>12</v>
      </c>
      <c r="B19" s="5">
        <v>2.4</v>
      </c>
      <c r="C19" s="5" t="s">
        <v>13</v>
      </c>
      <c r="D19" s="5">
        <v>10.33</v>
      </c>
      <c r="E19" s="5" t="s">
        <v>8</v>
      </c>
      <c r="F19" s="6">
        <v>72</v>
      </c>
      <c r="G19" cm="1">
        <f t="array" ref="G19">_xlfn.SWITCH(Table14[[#This Row],[Seasonality]],"Yes",1,0)</f>
        <v>1</v>
      </c>
    </row>
    <row r="20" spans="1:16" x14ac:dyDescent="0.25">
      <c r="A20" s="3" t="s">
        <v>6</v>
      </c>
      <c r="B20" s="3">
        <v>36.33</v>
      </c>
      <c r="C20" s="3" t="s">
        <v>10</v>
      </c>
      <c r="D20" s="3">
        <v>1.95</v>
      </c>
      <c r="E20" s="3" t="s">
        <v>8</v>
      </c>
      <c r="F20" s="4">
        <v>64</v>
      </c>
      <c r="G20" cm="1">
        <f t="array" ref="G20">_xlfn.SWITCH(Table14[[#This Row],[Seasonality]],"Yes",1,0)</f>
        <v>1</v>
      </c>
    </row>
    <row r="21" spans="1:16" x14ac:dyDescent="0.25">
      <c r="A21" s="5" t="s">
        <v>9</v>
      </c>
      <c r="B21" s="5">
        <v>20.309999999999999</v>
      </c>
      <c r="C21" s="5" t="s">
        <v>13</v>
      </c>
      <c r="D21" s="5">
        <v>16.78</v>
      </c>
      <c r="E21" s="5" t="s">
        <v>8</v>
      </c>
      <c r="F21" s="6">
        <v>98</v>
      </c>
      <c r="G21" cm="1">
        <f t="array" ref="G21">_xlfn.SWITCH(Table14[[#This Row],[Seasonality]],"Yes",1,0)</f>
        <v>1</v>
      </c>
    </row>
    <row r="22" spans="1:16" x14ac:dyDescent="0.25">
      <c r="A22" s="3" t="s">
        <v>12</v>
      </c>
      <c r="B22" s="3">
        <v>9.2899999999999991</v>
      </c>
      <c r="C22" s="3" t="s">
        <v>7</v>
      </c>
      <c r="D22" s="3">
        <v>10.19</v>
      </c>
      <c r="E22" s="3" t="s">
        <v>8</v>
      </c>
      <c r="F22" s="4">
        <v>97</v>
      </c>
      <c r="G22" cm="1">
        <f t="array" ref="G22">_xlfn.SWITCH(Table14[[#This Row],[Seasonality]],"Yes",1,0)</f>
        <v>1</v>
      </c>
    </row>
    <row r="23" spans="1:16" x14ac:dyDescent="0.25">
      <c r="A23" s="5" t="s">
        <v>6</v>
      </c>
      <c r="B23" s="5">
        <v>21.4</v>
      </c>
      <c r="C23" s="5" t="s">
        <v>10</v>
      </c>
      <c r="D23" s="5">
        <v>13.52</v>
      </c>
      <c r="E23" s="5" t="s">
        <v>8</v>
      </c>
      <c r="F23" s="6">
        <v>42</v>
      </c>
      <c r="G23" cm="1">
        <f t="array" ref="G23">_xlfn.SWITCH(Table14[[#This Row],[Seasonality]],"Yes",1,0)</f>
        <v>1</v>
      </c>
      <c r="J23" s="17" t="s">
        <v>48</v>
      </c>
      <c r="L23" s="17" t="s">
        <v>49</v>
      </c>
      <c r="N23" s="17" t="s">
        <v>50</v>
      </c>
      <c r="P23" s="17" t="s">
        <v>51</v>
      </c>
    </row>
    <row r="24" spans="1:16" x14ac:dyDescent="0.25">
      <c r="A24" s="3" t="s">
        <v>12</v>
      </c>
      <c r="B24" s="3">
        <v>25.57</v>
      </c>
      <c r="C24" s="3" t="s">
        <v>7</v>
      </c>
      <c r="D24" s="3">
        <v>6.63</v>
      </c>
      <c r="E24" s="3" t="s">
        <v>8</v>
      </c>
      <c r="F24" s="4">
        <v>49</v>
      </c>
      <c r="G24" cm="1">
        <f t="array" ref="G24">_xlfn.SWITCH(Table14[[#This Row],[Seasonality]],"Yes",1,0)</f>
        <v>1</v>
      </c>
      <c r="J24" s="18">
        <f>MEDIAN(D2:D35)</f>
        <v>10.42</v>
      </c>
      <c r="L24" s="18">
        <f>AVERAGE(B2:B35)</f>
        <v>25.007941176470592</v>
      </c>
      <c r="N24" s="18">
        <f>MODE(F2:F35)</f>
        <v>56</v>
      </c>
      <c r="P24" s="18">
        <f>CORREL(B:B,D:D)</f>
        <v>-0.37698885133358445</v>
      </c>
    </row>
    <row r="25" spans="1:16" x14ac:dyDescent="0.25">
      <c r="A25" s="5" t="s">
        <v>6</v>
      </c>
      <c r="B25" s="5">
        <v>31.41</v>
      </c>
      <c r="C25" s="5" t="s">
        <v>13</v>
      </c>
      <c r="D25" s="5">
        <v>8.27</v>
      </c>
      <c r="E25" s="5" t="s">
        <v>8</v>
      </c>
      <c r="F25" s="6">
        <v>75</v>
      </c>
      <c r="G25" cm="1">
        <f t="array" ref="G25">_xlfn.SWITCH(Table14[[#This Row],[Seasonality]],"Yes",1,0)</f>
        <v>1</v>
      </c>
    </row>
    <row r="26" spans="1:16" x14ac:dyDescent="0.25">
      <c r="A26" s="3" t="s">
        <v>12</v>
      </c>
      <c r="B26" s="3">
        <v>32.96</v>
      </c>
      <c r="C26" s="3" t="s">
        <v>7</v>
      </c>
      <c r="D26" s="3">
        <v>10.98</v>
      </c>
      <c r="E26" s="3" t="s">
        <v>8</v>
      </c>
      <c r="F26" s="4">
        <v>52</v>
      </c>
      <c r="G26" cm="1">
        <f t="array" ref="G26">_xlfn.SWITCH(Table14[[#This Row],[Seasonality]],"Yes",1,0)</f>
        <v>1</v>
      </c>
    </row>
    <row r="27" spans="1:16" x14ac:dyDescent="0.25">
      <c r="A27" s="5" t="s">
        <v>9</v>
      </c>
      <c r="B27" s="5">
        <v>44.88</v>
      </c>
      <c r="C27" s="5" t="s">
        <v>13</v>
      </c>
      <c r="D27" s="5">
        <v>7.81</v>
      </c>
      <c r="E27" s="5" t="s">
        <v>8</v>
      </c>
      <c r="F27" s="6">
        <v>77</v>
      </c>
      <c r="G27" cm="1">
        <f t="array" ref="G27">_xlfn.SWITCH(Table14[[#This Row],[Seasonality]],"Yes",1,0)</f>
        <v>1</v>
      </c>
    </row>
    <row r="28" spans="1:16" x14ac:dyDescent="0.25">
      <c r="A28" s="3" t="s">
        <v>6</v>
      </c>
      <c r="B28" s="3">
        <v>47.31</v>
      </c>
      <c r="C28" s="3" t="s">
        <v>13</v>
      </c>
      <c r="D28" s="3">
        <v>9.26</v>
      </c>
      <c r="E28" s="3" t="s">
        <v>8</v>
      </c>
      <c r="F28" s="4">
        <v>74</v>
      </c>
      <c r="G28" cm="1">
        <f t="array" ref="G28">_xlfn.SWITCH(Table14[[#This Row],[Seasonality]],"Yes",1,0)</f>
        <v>1</v>
      </c>
    </row>
    <row r="29" spans="1:16" x14ac:dyDescent="0.25">
      <c r="A29" s="5" t="s">
        <v>6</v>
      </c>
      <c r="B29" s="5">
        <v>26.67</v>
      </c>
      <c r="C29" s="5" t="s">
        <v>10</v>
      </c>
      <c r="D29" s="5">
        <v>13.28</v>
      </c>
      <c r="E29" s="5" t="s">
        <v>11</v>
      </c>
      <c r="F29" s="6">
        <v>81</v>
      </c>
      <c r="G29" cm="1">
        <f t="array" ref="G29">_xlfn.SWITCH(Table14[[#This Row],[Seasonality]],"Yes",1,0)</f>
        <v>0</v>
      </c>
      <c r="J29" s="17" t="s">
        <v>52</v>
      </c>
      <c r="L29" s="17" t="s">
        <v>54</v>
      </c>
    </row>
    <row r="30" spans="1:16" x14ac:dyDescent="0.25">
      <c r="A30" s="3" t="s">
        <v>9</v>
      </c>
      <c r="B30" s="3">
        <v>20.57</v>
      </c>
      <c r="C30" s="3" t="s">
        <v>7</v>
      </c>
      <c r="D30" s="3">
        <v>11.18</v>
      </c>
      <c r="E30" s="3" t="s">
        <v>11</v>
      </c>
      <c r="F30" s="4">
        <v>1</v>
      </c>
      <c r="G30" cm="1">
        <f t="array" ref="G30">_xlfn.SWITCH(Table14[[#This Row],[Seasonality]],"Yes",1,0)</f>
        <v>0</v>
      </c>
      <c r="J30" s="18">
        <f>_xlfn.STDEV.P(F2:F35)</f>
        <v>27.111457759930801</v>
      </c>
      <c r="L30" s="18">
        <f>_xlfn.VAR.P(F2:F35)</f>
        <v>735.03114186851212</v>
      </c>
    </row>
    <row r="31" spans="1:16" x14ac:dyDescent="0.25">
      <c r="A31" s="5" t="s">
        <v>9</v>
      </c>
      <c r="B31" s="5">
        <v>16.66</v>
      </c>
      <c r="C31" s="5" t="s">
        <v>13</v>
      </c>
      <c r="D31" s="5">
        <v>6.83</v>
      </c>
      <c r="E31" s="5" t="s">
        <v>11</v>
      </c>
      <c r="F31" s="6">
        <v>12</v>
      </c>
      <c r="G31" cm="1">
        <f t="array" ref="G31">_xlfn.SWITCH(Table14[[#This Row],[Seasonality]],"Yes",1,0)</f>
        <v>0</v>
      </c>
    </row>
    <row r="32" spans="1:16" x14ac:dyDescent="0.25">
      <c r="A32" s="3" t="s">
        <v>6</v>
      </c>
      <c r="B32" s="3">
        <v>42.28</v>
      </c>
      <c r="C32" s="3" t="s">
        <v>7</v>
      </c>
      <c r="D32" s="3">
        <v>5.0999999999999996</v>
      </c>
      <c r="E32" s="3" t="s">
        <v>8</v>
      </c>
      <c r="F32" s="4">
        <v>74</v>
      </c>
      <c r="G32" cm="1">
        <f t="array" ref="G32">_xlfn.SWITCH(Table14[[#This Row],[Seasonality]],"Yes",1,0)</f>
        <v>1</v>
      </c>
      <c r="J32" s="17" t="s">
        <v>53</v>
      </c>
      <c r="L32" s="17" t="s">
        <v>55</v>
      </c>
    </row>
    <row r="33" spans="1:12" x14ac:dyDescent="0.25">
      <c r="A33" s="5" t="s">
        <v>12</v>
      </c>
      <c r="B33" s="5">
        <v>14.21</v>
      </c>
      <c r="C33" s="5" t="s">
        <v>13</v>
      </c>
      <c r="D33" s="5">
        <v>16.649999999999999</v>
      </c>
      <c r="E33" s="5" t="s">
        <v>11</v>
      </c>
      <c r="F33" s="6">
        <v>99</v>
      </c>
      <c r="G33" cm="1">
        <f t="array" ref="G33">_xlfn.SWITCH(Table14[[#This Row],[Seasonality]],"Yes",1,0)</f>
        <v>0</v>
      </c>
      <c r="J33" s="18">
        <f>_xlfn.STDEV.S(F2:F35)</f>
        <v>27.519171732343693</v>
      </c>
      <c r="L33" s="18">
        <f>_xlfn.VAR.S(F2:F35)</f>
        <v>757.30481283422421</v>
      </c>
    </row>
    <row r="34" spans="1:12" x14ac:dyDescent="0.25">
      <c r="A34" s="3" t="s">
        <v>12</v>
      </c>
      <c r="B34" s="3">
        <v>26.19</v>
      </c>
      <c r="C34" s="3" t="s">
        <v>10</v>
      </c>
      <c r="D34" s="3">
        <v>16.04</v>
      </c>
      <c r="E34" s="3" t="s">
        <v>8</v>
      </c>
      <c r="F34" s="4">
        <v>76</v>
      </c>
      <c r="G34" cm="1">
        <f t="array" ref="G34">_xlfn.SWITCH(Table14[[#This Row],[Seasonality]],"Yes",1,0)</f>
        <v>1</v>
      </c>
    </row>
    <row r="35" spans="1:12" x14ac:dyDescent="0.25">
      <c r="A35" s="5" t="s">
        <v>9</v>
      </c>
      <c r="B35" s="5">
        <v>19.440000000000001</v>
      </c>
      <c r="C35" s="5" t="s">
        <v>13</v>
      </c>
      <c r="D35" s="5">
        <v>11.99</v>
      </c>
      <c r="E35" s="5" t="s">
        <v>8</v>
      </c>
      <c r="F35" s="6">
        <v>91</v>
      </c>
      <c r="G35" cm="1">
        <f t="array" ref="G35">_xlfn.SWITCH(Table14[[#This Row],[Seasonality]],"Yes",1,0)</f>
        <v>1</v>
      </c>
    </row>
    <row r="36" spans="1:12" x14ac:dyDescent="0.25">
      <c r="G36" cm="1">
        <f t="array" ref="G36">_xlfn.SWITCH(Table14[[#This Row],[Seasonality]],"Yes",1,0)</f>
        <v>0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statistical-analysis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2026-06-02T04:13:00Z</dcterms:created>
  <dcterms:modified xsi:type="dcterms:W3CDTF">2026-06-02T11:11:21Z</dcterms:modified>
</cp:coreProperties>
</file>