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AD5B150A-D9CD-4798-8703-D1276C05A713}" xr6:coauthVersionLast="47" xr6:coauthVersionMax="47" xr10:uidLastSave="{00000000-0000-0000-0000-000000000000}"/>
  <bookViews>
    <workbookView xWindow="-120" yWindow="-120" windowWidth="29040" windowHeight="15720" activeTab="2" xr2:uid="{66233B33-603E-4639-B639-86AF9A9E51A8}"/>
  </bookViews>
  <sheets>
    <sheet name="min" sheetId="4" r:id="rId1"/>
    <sheet name="Table1" sheetId="3" r:id="rId2"/>
    <sheet name="Sheet1" sheetId="1" r:id="rId3"/>
    <sheet name="Sheet2" sheetId="2" r:id="rId4"/>
  </sheets>
  <definedNames>
    <definedName name="_xlnm._FilterDatabase" localSheetId="3" hidden="1">Sheet2!$A$1:$A$19</definedName>
    <definedName name="ExternalData_1" localSheetId="1" hidden="1">Table1!$A$1:$T$20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 a="1"/>
  <c r="X2" i="1" s="1"/>
  <c r="X3" i="1" a="1"/>
  <c r="X3" i="1" s="1"/>
  <c r="X4" i="1" a="1"/>
  <c r="X4" i="1" s="1"/>
  <c r="X5" i="1" a="1"/>
  <c r="X5" i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P26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I30" i="1"/>
  <c r="I29" i="1"/>
  <c r="I28" i="1"/>
  <c r="I27" i="1"/>
  <c r="I26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BEB2E8-2459-4919-8620-AEA6EF1B748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<sst xmlns="http://schemas.openxmlformats.org/spreadsheetml/2006/main" count="430" uniqueCount="115">
  <si>
    <t>Product ID</t>
  </si>
  <si>
    <t>Product Name</t>
  </si>
  <si>
    <t>Category</t>
  </si>
  <si>
    <t>Price</t>
  </si>
  <si>
    <t>Discount</t>
  </si>
  <si>
    <t>Tax Rate</t>
  </si>
  <si>
    <t>Stock Level</t>
  </si>
  <si>
    <t>Supplier ID</t>
  </si>
  <si>
    <t>Customer Age Group</t>
  </si>
  <si>
    <t>Customer Location</t>
  </si>
  <si>
    <t>Customer Gender</t>
  </si>
  <si>
    <t>Shipping Cost</t>
  </si>
  <si>
    <t>Shipping Method</t>
  </si>
  <si>
    <t>Return Rate</t>
  </si>
  <si>
    <t>Seasonality</t>
  </si>
  <si>
    <t>Popularity Index</t>
  </si>
  <si>
    <t>P6879</t>
  </si>
  <si>
    <t>Jacket</t>
  </si>
  <si>
    <t>Apparel</t>
  </si>
  <si>
    <t>S535</t>
  </si>
  <si>
    <t>35-44</t>
  </si>
  <si>
    <t>New York, USA</t>
  </si>
  <si>
    <t>Male</t>
  </si>
  <si>
    <t>Standard</t>
  </si>
  <si>
    <t>Yes</t>
  </si>
  <si>
    <t>P5132</t>
  </si>
  <si>
    <t>Camera</t>
  </si>
  <si>
    <t>Electronics</t>
  </si>
  <si>
    <t>S583</t>
  </si>
  <si>
    <t>25-34</t>
  </si>
  <si>
    <t>London, UK</t>
  </si>
  <si>
    <t>Female</t>
  </si>
  <si>
    <t>Overnight</t>
  </si>
  <si>
    <t>No</t>
  </si>
  <si>
    <t>P2941</t>
  </si>
  <si>
    <t>Sneakers</t>
  </si>
  <si>
    <t>Footwear</t>
  </si>
  <si>
    <t>S118</t>
  </si>
  <si>
    <t>Tokyo, Japan</t>
  </si>
  <si>
    <t>Non-Binary</t>
  </si>
  <si>
    <t>P8545</t>
  </si>
  <si>
    <t>Cookbooks</t>
  </si>
  <si>
    <t>Books</t>
  </si>
  <si>
    <t>S104</t>
  </si>
  <si>
    <t>18-24</t>
  </si>
  <si>
    <t>Paris, France</t>
  </si>
  <si>
    <t>P4594</t>
  </si>
  <si>
    <t>S331</t>
  </si>
  <si>
    <t>55+</t>
  </si>
  <si>
    <t>P1388</t>
  </si>
  <si>
    <t>Non-Fiction</t>
  </si>
  <si>
    <t>S523</t>
  </si>
  <si>
    <t>45-54</t>
  </si>
  <si>
    <t>Singapore</t>
  </si>
  <si>
    <t>Express</t>
  </si>
  <si>
    <t>P7313</t>
  </si>
  <si>
    <t>Running Shoes</t>
  </si>
  <si>
    <t>S878</t>
  </si>
  <si>
    <t>Sydney, Australia</t>
  </si>
  <si>
    <t>P1060</t>
  </si>
  <si>
    <t>Blender</t>
  </si>
  <si>
    <t>Home Appliances</t>
  </si>
  <si>
    <t>S396</t>
  </si>
  <si>
    <t>Phoenix, USA</t>
  </si>
  <si>
    <t>P1241</t>
  </si>
  <si>
    <t>Fiction</t>
  </si>
  <si>
    <t>S183</t>
  </si>
  <si>
    <t>Cape Town, South Africa</t>
  </si>
  <si>
    <t>P9687</t>
  </si>
  <si>
    <t>Heels</t>
  </si>
  <si>
    <t>S672</t>
  </si>
  <si>
    <t>P6094</t>
  </si>
  <si>
    <t>Comics</t>
  </si>
  <si>
    <t>S501</t>
  </si>
  <si>
    <t>P3700</t>
  </si>
  <si>
    <t>S975</t>
  </si>
  <si>
    <t>Houston, USA</t>
  </si>
  <si>
    <t>P8707</t>
  </si>
  <si>
    <t>Smartwatch</t>
  </si>
  <si>
    <t>S640</t>
  </si>
  <si>
    <t>P3045</t>
  </si>
  <si>
    <t>S204</t>
  </si>
  <si>
    <t>P2019</t>
  </si>
  <si>
    <t>Hiking Shoes</t>
  </si>
  <si>
    <t>S194</t>
  </si>
  <si>
    <t>Toronto, Canada</t>
  </si>
  <si>
    <t>P5172</t>
  </si>
  <si>
    <t>Washing Machine</t>
  </si>
  <si>
    <t>S597</t>
  </si>
  <si>
    <t>P2766</t>
  </si>
  <si>
    <t>Boots</t>
  </si>
  <si>
    <t>S732</t>
  </si>
  <si>
    <t>Chicago, USA</t>
  </si>
  <si>
    <t>P2339</t>
  </si>
  <si>
    <t>Textbooks</t>
  </si>
  <si>
    <t>S702</t>
  </si>
  <si>
    <t>Berlin, Germany</t>
  </si>
  <si>
    <t>P7834</t>
  </si>
  <si>
    <t>S328</t>
  </si>
  <si>
    <t>sum</t>
  </si>
  <si>
    <t>avg</t>
  </si>
  <si>
    <t>min</t>
  </si>
  <si>
    <t>max</t>
  </si>
  <si>
    <t>median</t>
  </si>
  <si>
    <t>round</t>
  </si>
  <si>
    <t>left</t>
  </si>
  <si>
    <t>gender</t>
  </si>
  <si>
    <t>M</t>
  </si>
  <si>
    <t>F</t>
  </si>
  <si>
    <t>Trans</t>
  </si>
  <si>
    <t>N</t>
  </si>
  <si>
    <t>sqrt</t>
  </si>
  <si>
    <t>rank</t>
  </si>
  <si>
    <t xml:space="preserve">discount rate </t>
  </si>
  <si>
    <t>denserank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</si>
</sst>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Onyx"/>
      <family val="5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6A73C9-A931-477D-A0F8-7FB113ADCEB2}" autoFormatId="16" applyNumberFormats="0" applyBorderFormats="0" applyFontFormats="0" applyPatternFormats="0" applyAlignmentFormats="0" applyWidthHeightFormats="0">
  <queryTableRefresh nextId="21">
    <queryTableFields count="20">
      <queryTableField id="1" name="Product ID" tableColumnId="1"/>
      <queryTableField id="2" name="Product Name" tableColumnId="2"/>
      <queryTableField id="3" name="Category" tableColumnId="3"/>
      <queryTableField id="4" name="Price" tableColumnId="4"/>
      <queryTableField id="5" name="Discount" tableColumnId="5"/>
      <queryTableField id="6" name="Tax Rate" tableColumnId="6"/>
      <queryTableField id="7" name="Stock Level" tableColumnId="7"/>
      <queryTableField id="8" name="Supplier ID" tableColumnId="8"/>
      <queryTableField id="9" name="Customer Age Group" tableColumnId="9"/>
      <queryTableField id="10" name="Customer Location" tableColumnId="10"/>
      <queryTableField id="11" name="Customer Gender" tableColumnId="11"/>
      <queryTableField id="12" name="Shipping Cost" tableColumnId="12"/>
      <queryTableField id="13" name="Shipping Method" tableColumnId="13"/>
      <queryTableField id="14" name="Return Rate" tableColumnId="14"/>
      <queryTableField id="15" name="Seasonality" tableColumnId="15"/>
      <queryTableField id="16" name="Popularity Index" tableColumnId="16"/>
      <queryTableField id="17" name="sum" tableColumnId="17"/>
      <queryTableField id="18" name="avg" tableColumnId="18"/>
      <queryTableField id="19" name="min" tableColumnId="19"/>
      <queryTableField id="20" name="gender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486DD-BBCA-4067-A48D-17C9A74C124E}" name="min" displayName="min" ref="A1:A20" totalsRowShown="0">
  <autoFilter ref="A1:A20" xr:uid="{BAD486DD-BBCA-4067-A48D-17C9A74C124E}"/>
  <tableColumns count="1">
    <tableColumn id="1" xr3:uid="{3EDC169B-0551-4D75-BBBF-792561E48263}" name="m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FC10E0-0D98-47E6-8A60-D08A4B2C0188}" name="Table1_1" displayName="Table1_1" ref="A1:T20" tableType="queryTable" totalsRowShown="0">
  <autoFilter ref="A1:T20" xr:uid="{ADFC10E0-0D98-47E6-8A60-D08A4B2C0188}"/>
  <tableColumns count="20">
    <tableColumn id="1" xr3:uid="{C3339A41-F445-4A59-BB8C-11B54E7749B3}" uniqueName="1" name="Product ID" queryTableFieldId="1" dataDxfId="13"/>
    <tableColumn id="2" xr3:uid="{D9BD38F1-5897-4AB6-A74D-54B293CE1B2E}" uniqueName="2" name="Product Name" queryTableFieldId="2" dataDxfId="12"/>
    <tableColumn id="3" xr3:uid="{877E793E-D117-43BC-BA1E-382099F2FA93}" uniqueName="3" name="Category" queryTableFieldId="3" dataDxfId="11"/>
    <tableColumn id="4" xr3:uid="{21EA5EAC-0422-4BB5-B9A2-3B23A8182C8D}" uniqueName="4" name="Price" queryTableFieldId="4"/>
    <tableColumn id="5" xr3:uid="{698E7104-2BF7-4757-9AA5-BF1404017175}" uniqueName="5" name="Discount" queryTableFieldId="5"/>
    <tableColumn id="6" xr3:uid="{51E2CB13-DD53-4187-BE7B-DC7BCF18F498}" uniqueName="6" name="Tax Rate" queryTableFieldId="6"/>
    <tableColumn id="7" xr3:uid="{B4E2B3CB-069E-4D02-AFD4-196CF12F44F2}" uniqueName="7" name="Stock Level" queryTableFieldId="7"/>
    <tableColumn id="8" xr3:uid="{FE5F876E-FF82-41E0-BEA2-40E42F58BAED}" uniqueName="8" name="Supplier ID" queryTableFieldId="8" dataDxfId="10"/>
    <tableColumn id="9" xr3:uid="{7DF08D12-F651-41EE-83AC-AA611D401DE3}" uniqueName="9" name="Customer Age Group" queryTableFieldId="9" dataDxfId="9"/>
    <tableColumn id="10" xr3:uid="{712F85D8-C701-4885-8341-2D1DE9067B25}" uniqueName="10" name="Customer Location" queryTableFieldId="10" dataDxfId="8"/>
    <tableColumn id="11" xr3:uid="{70030893-DAEA-4146-B818-C8B6A09C1CCD}" uniqueName="11" name="Customer Gender" queryTableFieldId="11" dataDxfId="7"/>
    <tableColumn id="12" xr3:uid="{ACAAFF73-7124-46F9-B7EA-59372AC8E1D4}" uniqueName="12" name="Shipping Cost" queryTableFieldId="12"/>
    <tableColumn id="13" xr3:uid="{283D46D2-9D64-4FF6-AC56-098FA2CACB4B}" uniqueName="13" name="Shipping Method" queryTableFieldId="13" dataDxfId="6"/>
    <tableColumn id="14" xr3:uid="{D33BEC42-4A1A-43A4-A444-2A8194A48A10}" uniqueName="14" name="Return Rate" queryTableFieldId="14"/>
    <tableColumn id="15" xr3:uid="{FAA39770-D2AE-4C4F-BA75-5C1CB7FA7712}" uniqueName="15" name="Seasonality" queryTableFieldId="15" dataDxfId="5"/>
    <tableColumn id="16" xr3:uid="{10E1E953-86B2-45D6-9BDB-6880AB5A65A6}" uniqueName="16" name="Popularity Index" queryTableFieldId="16"/>
    <tableColumn id="17" xr3:uid="{FEE299C9-824C-45A1-A9CB-C2A8B2C483E2}" uniqueName="17" name="sum" queryTableFieldId="17"/>
    <tableColumn id="18" xr3:uid="{5AA7C9F4-C1AD-4B79-AB33-2F191A987472}" uniqueName="18" name="avg" queryTableFieldId="18"/>
    <tableColumn id="19" xr3:uid="{AA01C860-ACF7-4102-83D6-C80BF225E22E}" uniqueName="19" name="min" queryTableFieldId="19"/>
    <tableColumn id="20" xr3:uid="{154AC079-0D78-4E6F-8776-C0E8DD52DD55}" uniqueName="20" name="gender" queryTableFieldId="20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7B83E-1B19-43A7-A84D-1F9056A35A35}" name="Table1" displayName="Table1" ref="A1:X20" totalsRowShown="0">
  <autoFilter ref="A1:X20" xr:uid="{9FD7B83E-1B19-43A7-A84D-1F9056A35A35}"/>
  <tableColumns count="24">
    <tableColumn id="1" xr3:uid="{7C8C8EF4-317C-4C20-ABB4-876DB0E64074}" name="Product ID"/>
    <tableColumn id="2" xr3:uid="{8465DCCA-5735-4919-90A2-E773989B4BF1}" name="Product Name"/>
    <tableColumn id="3" xr3:uid="{AC307ADD-8EFB-41F2-BE34-EC8BBE04B61C}" name="Category"/>
    <tableColumn id="4" xr3:uid="{7D85A5F7-3598-4758-AF4F-B353FCBF3938}" name="Price"/>
    <tableColumn id="5" xr3:uid="{346990C6-CB11-43BA-9157-AEAFC8FB255F}" name="Discount"/>
    <tableColumn id="6" xr3:uid="{78512257-102D-4C1B-B7D1-257B78431AB7}" name="Tax Rate"/>
    <tableColumn id="7" xr3:uid="{43A12CB4-549D-4A0D-8EF8-54AD8E6F046D}" name="Stock Level"/>
    <tableColumn id="8" xr3:uid="{C8421CF9-1579-4DD1-85C9-BD2B62F70E53}" name="Supplier ID"/>
    <tableColumn id="9" xr3:uid="{7128F64A-ABA1-4FBD-9AD7-5B0F10E169D4}" name="Customer Age Group"/>
    <tableColumn id="10" xr3:uid="{0BA14F20-07CC-49CB-ABA6-B9EA6332D3EB}" name="Customer Location"/>
    <tableColumn id="11" xr3:uid="{88AF0A4A-A2CF-4479-9939-0DD98C4C32A1}" name="Customer Gender"/>
    <tableColumn id="12" xr3:uid="{89DAD858-7DA2-42F0-BB5B-E49237ECB6CF}" name="Shipping Cost"/>
    <tableColumn id="13" xr3:uid="{770615E0-EE8D-4299-B4C8-1C7F89FAC824}" name="Shipping Method"/>
    <tableColumn id="14" xr3:uid="{55BACA2F-E010-41A4-A37F-E29B9198A5F4}" name="Return Rate"/>
    <tableColumn id="15" xr3:uid="{5924B654-8CAF-4C66-B0F1-A755A7354E7E}" name="Seasonality"/>
    <tableColumn id="16" xr3:uid="{8A8E4BDA-4D12-455E-B8B7-3657A3F154DB}" name="Popularity Index"/>
    <tableColumn id="17" xr3:uid="{2276A0CD-486A-4136-AE84-497D7795EA53}" name="sum" dataDxfId="17">
      <calculatedColumnFormula>SUM(Table1[[#This Row],[Price]]:Table1[[#This Row],[Tax Rate]])</calculatedColumnFormula>
    </tableColumn>
    <tableColumn id="18" xr3:uid="{F8AA1008-25F0-4D1B-9487-48C7CA33F74C}" name="avg" dataDxfId="16">
      <calculatedColumnFormula>AVERAGE(Table1[[#This Row],[Price]]:Table1[[#This Row],[Tax Rate]])</calculatedColumnFormula>
    </tableColumn>
    <tableColumn id="19" xr3:uid="{677C330E-1CF4-4EC2-9EE4-2D4063A1FB8D}" name="min" dataDxfId="15">
      <calculatedColumnFormula>MIN(Table1[[#This Row],[Tax Rate]])</calculatedColumnFormula>
    </tableColumn>
    <tableColumn id="20" xr3:uid="{8FE0BF8A-C5C1-4566-A7F1-205A5BD70DE3}" name="gender" dataDxfId="14">
      <calculatedColumnFormula>LEFT(K:K,1)</calculatedColumnFormula>
    </tableColumn>
    <tableColumn id="21" xr3:uid="{74BA6681-7A5F-42D8-B50C-F87CDDB227FF}" name="sqrt" dataDxfId="3">
      <calculatedColumnFormula>SQRT(N:N)</calculatedColumnFormula>
    </tableColumn>
    <tableColumn id="22" xr3:uid="{36206924-2730-44C0-BF86-C4DF6A35C287}" name="rank" dataDxfId="2">
      <calculatedColumnFormula>RANK(E3,E:E)</calculatedColumnFormula>
    </tableColumn>
    <tableColumn id="23" xr3:uid="{766539A0-1AC0-4B8E-BDD8-E0DD55FC6095}" name="discount rate " dataDxfId="1">
      <calculatedColumnFormula>IF(Table1[[#Headers],[Discount]]&gt;8,"good","bad")</calculatedColumnFormula>
    </tableColumn>
    <tableColumn id="24" xr3:uid="{DCB4B314-3CF0-4E62-B531-064B3D813D88}" name="denserank" dataDxfId="0">
      <calculatedColumnFormula array="1">COUNT(_xlfn.UNIQUE(_xlfn._xlws.FILTER(Table1[Popularity Index],Table1[Popularity Index]&gt;Table1[[#This Row],[Popularity Index]])))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0CA2-5EFB-4694-B1A3-C0617096CEC7}">
  <dimension ref="A1:A20"/>
  <sheetViews>
    <sheetView workbookViewId="0">
      <selection sqref="A1:A20"/>
    </sheetView>
  </sheetViews>
  <sheetFormatPr defaultRowHeight="15" x14ac:dyDescent="0.25"/>
  <cols>
    <col min="1" max="1" width="6.7109375" bestFit="1" customWidth="1"/>
  </cols>
  <sheetData>
    <row r="1" spans="1:1" x14ac:dyDescent="0.25">
      <c r="A1" t="s">
        <v>101</v>
      </c>
    </row>
    <row r="2" spans="1:1" x14ac:dyDescent="0.25">
      <c r="A2">
        <v>4.49</v>
      </c>
    </row>
    <row r="4" spans="1:1" x14ac:dyDescent="0.25">
      <c r="A4">
        <v>8</v>
      </c>
    </row>
    <row r="5" spans="1:1" x14ac:dyDescent="0.25">
      <c r="A5">
        <v>15</v>
      </c>
    </row>
    <row r="6" spans="1:1" x14ac:dyDescent="0.25">
      <c r="A6">
        <v>12</v>
      </c>
    </row>
    <row r="7" spans="1:1" x14ac:dyDescent="0.25">
      <c r="A7">
        <v>8</v>
      </c>
    </row>
    <row r="8" spans="1:1" x14ac:dyDescent="0.25">
      <c r="A8">
        <v>10</v>
      </c>
    </row>
    <row r="9" spans="1:1" x14ac:dyDescent="0.25">
      <c r="A9">
        <v>15</v>
      </c>
    </row>
    <row r="10" spans="1:1" x14ac:dyDescent="0.25">
      <c r="A10">
        <v>5</v>
      </c>
    </row>
    <row r="11" spans="1:1" x14ac:dyDescent="0.25">
      <c r="A11">
        <v>8</v>
      </c>
    </row>
    <row r="12" spans="1:1" x14ac:dyDescent="0.25">
      <c r="A12">
        <v>10</v>
      </c>
    </row>
    <row r="13" spans="1:1" x14ac:dyDescent="0.25">
      <c r="A13">
        <v>12</v>
      </c>
    </row>
    <row r="14" spans="1:1" x14ac:dyDescent="0.25">
      <c r="A14">
        <v>8</v>
      </c>
    </row>
    <row r="15" spans="1:1" x14ac:dyDescent="0.25">
      <c r="A15">
        <v>15</v>
      </c>
    </row>
    <row r="16" spans="1:1" x14ac:dyDescent="0.25">
      <c r="A16">
        <v>12</v>
      </c>
    </row>
    <row r="17" spans="1:1" x14ac:dyDescent="0.25">
      <c r="A17">
        <v>15</v>
      </c>
    </row>
    <row r="18" spans="1:1" x14ac:dyDescent="0.25">
      <c r="A18">
        <v>15</v>
      </c>
    </row>
    <row r="19" spans="1:1" x14ac:dyDescent="0.25">
      <c r="A19">
        <v>15</v>
      </c>
    </row>
    <row r="20" spans="1:1" x14ac:dyDescent="0.25">
      <c r="A20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5847-3930-4B77-BDF9-AC1BF1397DC8}">
  <dimension ref="A1:T20"/>
  <sheetViews>
    <sheetView topLeftCell="A67" workbookViewId="0">
      <selection activeCell="C29" sqref="C29"/>
    </sheetView>
  </sheetViews>
  <sheetFormatPr defaultRowHeight="15" x14ac:dyDescent="0.25"/>
  <cols>
    <col min="1" max="1" width="12.42578125" bestFit="1" customWidth="1"/>
    <col min="2" max="2" width="16.7109375" bestFit="1" customWidth="1"/>
    <col min="3" max="3" width="16.5703125" bestFit="1" customWidth="1"/>
    <col min="4" max="4" width="8" bestFit="1" customWidth="1"/>
    <col min="5" max="5" width="11" bestFit="1" customWidth="1"/>
    <col min="6" max="6" width="10.7109375" bestFit="1" customWidth="1"/>
    <col min="7" max="7" width="13.140625" bestFit="1" customWidth="1"/>
    <col min="8" max="8" width="13" bestFit="1" customWidth="1"/>
    <col min="9" max="9" width="22" bestFit="1" customWidth="1"/>
    <col min="10" max="10" width="22.85546875" bestFit="1" customWidth="1"/>
    <col min="11" max="11" width="19.140625" bestFit="1" customWidth="1"/>
    <col min="12" max="12" width="15.42578125" bestFit="1" customWidth="1"/>
    <col min="13" max="13" width="18.7109375" bestFit="1" customWidth="1"/>
    <col min="14" max="14" width="13.7109375" bestFit="1" customWidth="1"/>
    <col min="15" max="15" width="13.42578125" bestFit="1" customWidth="1"/>
    <col min="16" max="16" width="18" bestFit="1" customWidth="1"/>
    <col min="17" max="17" width="8" bestFit="1" customWidth="1"/>
    <col min="18" max="18" width="12" bestFit="1" customWidth="1"/>
    <col min="19" max="19" width="6.7109375" bestFit="1" customWidth="1"/>
    <col min="20" max="20" width="9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99</v>
      </c>
      <c r="R1" t="s">
        <v>100</v>
      </c>
      <c r="S1" t="s">
        <v>101</v>
      </c>
      <c r="T1" t="s">
        <v>106</v>
      </c>
    </row>
    <row r="2" spans="1:20" x14ac:dyDescent="0.25">
      <c r="A2" s="3" t="s">
        <v>59</v>
      </c>
      <c r="B2" s="3" t="s">
        <v>60</v>
      </c>
      <c r="C2" s="3" t="s">
        <v>61</v>
      </c>
      <c r="D2">
        <v>1873.52</v>
      </c>
      <c r="E2">
        <v>0</v>
      </c>
      <c r="F2">
        <v>15</v>
      </c>
      <c r="G2">
        <v>349</v>
      </c>
      <c r="H2" s="3" t="s">
        <v>62</v>
      </c>
      <c r="I2" s="3" t="s">
        <v>44</v>
      </c>
      <c r="J2" s="3" t="s">
        <v>63</v>
      </c>
      <c r="K2" s="3" t="s">
        <v>22</v>
      </c>
      <c r="L2">
        <v>46.42</v>
      </c>
      <c r="M2" s="3" t="s">
        <v>23</v>
      </c>
      <c r="N2">
        <v>4.79</v>
      </c>
      <c r="O2" s="3" t="s">
        <v>33</v>
      </c>
      <c r="P2">
        <v>60</v>
      </c>
      <c r="Q2">
        <v>1888.52</v>
      </c>
      <c r="R2">
        <v>629.50666666666666</v>
      </c>
      <c r="S2">
        <v>15</v>
      </c>
      <c r="T2" s="3" t="s">
        <v>107</v>
      </c>
    </row>
    <row r="3" spans="1:20" x14ac:dyDescent="0.25">
      <c r="A3" s="3" t="s">
        <v>64</v>
      </c>
      <c r="B3" s="3" t="s">
        <v>65</v>
      </c>
      <c r="C3" s="3" t="s">
        <v>42</v>
      </c>
      <c r="D3">
        <v>1586.65</v>
      </c>
      <c r="E3">
        <v>25</v>
      </c>
      <c r="F3">
        <v>5</v>
      </c>
      <c r="G3">
        <v>237</v>
      </c>
      <c r="H3" s="3" t="s">
        <v>66</v>
      </c>
      <c r="I3" s="3" t="s">
        <v>20</v>
      </c>
      <c r="J3" s="3" t="s">
        <v>67</v>
      </c>
      <c r="K3" s="3" t="s">
        <v>22</v>
      </c>
      <c r="L3">
        <v>33.1</v>
      </c>
      <c r="M3" s="3" t="s">
        <v>54</v>
      </c>
      <c r="N3">
        <v>2.5499999999999998</v>
      </c>
      <c r="O3" s="3" t="s">
        <v>24</v>
      </c>
      <c r="P3">
        <v>90</v>
      </c>
      <c r="Q3">
        <v>1616.65</v>
      </c>
      <c r="R3">
        <v>538.88333333333333</v>
      </c>
      <c r="S3">
        <v>5</v>
      </c>
      <c r="T3" s="3" t="s">
        <v>107</v>
      </c>
    </row>
    <row r="4" spans="1:20" x14ac:dyDescent="0.25">
      <c r="A4" s="3" t="s">
        <v>49</v>
      </c>
      <c r="B4" s="3" t="s">
        <v>50</v>
      </c>
      <c r="C4" s="3" t="s">
        <v>42</v>
      </c>
      <c r="D4">
        <v>584.19000000000005</v>
      </c>
      <c r="E4">
        <v>15</v>
      </c>
      <c r="F4">
        <v>8</v>
      </c>
      <c r="G4">
        <v>204</v>
      </c>
      <c r="H4" s="3" t="s">
        <v>51</v>
      </c>
      <c r="I4" s="3" t="s">
        <v>52</v>
      </c>
      <c r="J4" s="3" t="s">
        <v>53</v>
      </c>
      <c r="K4" s="3" t="s">
        <v>31</v>
      </c>
      <c r="L4">
        <v>40.119999999999997</v>
      </c>
      <c r="M4" s="3" t="s">
        <v>54</v>
      </c>
      <c r="N4">
        <v>19.03</v>
      </c>
      <c r="O4" s="3" t="s">
        <v>33</v>
      </c>
      <c r="P4">
        <v>91</v>
      </c>
      <c r="Q4">
        <v>607.19000000000005</v>
      </c>
      <c r="R4">
        <v>202.39666666666668</v>
      </c>
      <c r="S4">
        <v>8</v>
      </c>
      <c r="T4" s="3" t="s">
        <v>108</v>
      </c>
    </row>
    <row r="5" spans="1:20" x14ac:dyDescent="0.25">
      <c r="A5" s="3" t="s">
        <v>82</v>
      </c>
      <c r="B5" s="3" t="s">
        <v>83</v>
      </c>
      <c r="C5" s="3" t="s">
        <v>36</v>
      </c>
      <c r="D5">
        <v>302.74</v>
      </c>
      <c r="E5">
        <v>25</v>
      </c>
      <c r="F5">
        <v>12</v>
      </c>
      <c r="G5">
        <v>456</v>
      </c>
      <c r="H5" s="3" t="s">
        <v>84</v>
      </c>
      <c r="I5" s="3" t="s">
        <v>52</v>
      </c>
      <c r="J5" s="3" t="s">
        <v>85</v>
      </c>
      <c r="K5" s="3" t="s">
        <v>31</v>
      </c>
      <c r="L5">
        <v>44.1</v>
      </c>
      <c r="M5" s="3" t="s">
        <v>23</v>
      </c>
      <c r="N5">
        <v>7.05</v>
      </c>
      <c r="O5" s="3" t="s">
        <v>33</v>
      </c>
      <c r="P5">
        <v>3</v>
      </c>
      <c r="Q5">
        <v>339.74</v>
      </c>
      <c r="R5">
        <v>113.24666666666667</v>
      </c>
      <c r="S5">
        <v>12</v>
      </c>
      <c r="T5" s="3" t="s">
        <v>108</v>
      </c>
    </row>
    <row r="6" spans="1:20" x14ac:dyDescent="0.25">
      <c r="A6" s="3" t="s">
        <v>93</v>
      </c>
      <c r="B6" s="3" t="s">
        <v>94</v>
      </c>
      <c r="C6" s="3" t="s">
        <v>42</v>
      </c>
      <c r="D6">
        <v>812.75</v>
      </c>
      <c r="E6">
        <v>20</v>
      </c>
      <c r="F6">
        <v>15</v>
      </c>
      <c r="G6">
        <v>180</v>
      </c>
      <c r="H6" s="3" t="s">
        <v>95</v>
      </c>
      <c r="I6" s="3" t="s">
        <v>20</v>
      </c>
      <c r="J6" s="3" t="s">
        <v>96</v>
      </c>
      <c r="K6" s="3" t="s">
        <v>109</v>
      </c>
      <c r="L6">
        <v>2.4</v>
      </c>
      <c r="M6" s="3" t="s">
        <v>54</v>
      </c>
      <c r="N6">
        <v>10.33</v>
      </c>
      <c r="O6" s="3" t="s">
        <v>24</v>
      </c>
      <c r="P6">
        <v>72</v>
      </c>
      <c r="Q6">
        <v>847.75</v>
      </c>
      <c r="R6">
        <v>282.58333333333331</v>
      </c>
      <c r="S6">
        <v>15</v>
      </c>
      <c r="T6" s="3" t="s">
        <v>110</v>
      </c>
    </row>
    <row r="7" spans="1:20" x14ac:dyDescent="0.25">
      <c r="A7" s="3" t="s">
        <v>89</v>
      </c>
      <c r="B7" s="3" t="s">
        <v>90</v>
      </c>
      <c r="C7" s="3" t="s">
        <v>36</v>
      </c>
      <c r="D7">
        <v>1961.39</v>
      </c>
      <c r="E7">
        <v>25</v>
      </c>
      <c r="F7">
        <v>15</v>
      </c>
      <c r="G7">
        <v>420</v>
      </c>
      <c r="H7" s="3" t="s">
        <v>91</v>
      </c>
      <c r="I7" s="3" t="s">
        <v>20</v>
      </c>
      <c r="J7" s="3" t="s">
        <v>92</v>
      </c>
      <c r="K7" s="3" t="s">
        <v>109</v>
      </c>
      <c r="L7">
        <v>1.68</v>
      </c>
      <c r="M7" s="3" t="s">
        <v>32</v>
      </c>
      <c r="N7">
        <v>11.08</v>
      </c>
      <c r="O7" s="3" t="s">
        <v>33</v>
      </c>
      <c r="P7">
        <v>92</v>
      </c>
      <c r="Q7">
        <v>2001.39</v>
      </c>
      <c r="R7">
        <v>667.13</v>
      </c>
      <c r="S7">
        <v>15</v>
      </c>
      <c r="T7" s="3" t="s">
        <v>110</v>
      </c>
    </row>
    <row r="8" spans="1:20" x14ac:dyDescent="0.25">
      <c r="A8" s="3" t="s">
        <v>34</v>
      </c>
      <c r="B8" s="3" t="s">
        <v>35</v>
      </c>
      <c r="C8" s="3" t="s">
        <v>36</v>
      </c>
      <c r="D8">
        <v>1756.76</v>
      </c>
      <c r="E8">
        <v>5</v>
      </c>
      <c r="F8">
        <v>8</v>
      </c>
      <c r="G8">
        <v>468</v>
      </c>
      <c r="H8" s="3" t="s">
        <v>37</v>
      </c>
      <c r="I8" s="3" t="s">
        <v>29</v>
      </c>
      <c r="J8" s="3" t="s">
        <v>38</v>
      </c>
      <c r="K8" s="3" t="s">
        <v>109</v>
      </c>
      <c r="L8">
        <v>16.43</v>
      </c>
      <c r="M8" s="3" t="s">
        <v>23</v>
      </c>
      <c r="N8">
        <v>4.93</v>
      </c>
      <c r="O8" s="3" t="s">
        <v>33</v>
      </c>
      <c r="P8">
        <v>40</v>
      </c>
      <c r="Q8">
        <v>1769.76</v>
      </c>
      <c r="R8">
        <v>589.91999999999996</v>
      </c>
      <c r="S8">
        <v>8</v>
      </c>
      <c r="T8" s="3" t="s">
        <v>110</v>
      </c>
    </row>
    <row r="9" spans="1:20" x14ac:dyDescent="0.25">
      <c r="A9" s="3" t="s">
        <v>80</v>
      </c>
      <c r="B9" s="3" t="s">
        <v>65</v>
      </c>
      <c r="C9" s="3" t="s">
        <v>42</v>
      </c>
      <c r="D9">
        <v>1345.42</v>
      </c>
      <c r="E9">
        <v>15</v>
      </c>
      <c r="F9">
        <v>15</v>
      </c>
      <c r="G9">
        <v>150</v>
      </c>
      <c r="H9" s="3" t="s">
        <v>81</v>
      </c>
      <c r="I9" s="3" t="s">
        <v>48</v>
      </c>
      <c r="J9" s="3" t="s">
        <v>67</v>
      </c>
      <c r="K9" s="3" t="s">
        <v>109</v>
      </c>
      <c r="L9">
        <v>14.25</v>
      </c>
      <c r="M9" s="3" t="s">
        <v>23</v>
      </c>
      <c r="N9">
        <v>19.77</v>
      </c>
      <c r="O9" s="3" t="s">
        <v>24</v>
      </c>
      <c r="P9">
        <v>35</v>
      </c>
      <c r="Q9">
        <v>1375.42</v>
      </c>
      <c r="R9">
        <v>458.47333333333336</v>
      </c>
      <c r="S9">
        <v>15</v>
      </c>
      <c r="T9" s="3" t="s">
        <v>110</v>
      </c>
    </row>
    <row r="10" spans="1:20" x14ac:dyDescent="0.25">
      <c r="A10" s="3" t="s">
        <v>74</v>
      </c>
      <c r="B10" s="3" t="s">
        <v>65</v>
      </c>
      <c r="C10" s="3" t="s">
        <v>42</v>
      </c>
      <c r="D10">
        <v>395.42</v>
      </c>
      <c r="E10">
        <v>5</v>
      </c>
      <c r="F10">
        <v>12</v>
      </c>
      <c r="G10">
        <v>335</v>
      </c>
      <c r="H10" s="3" t="s">
        <v>75</v>
      </c>
      <c r="I10" s="3" t="s">
        <v>48</v>
      </c>
      <c r="J10" s="3" t="s">
        <v>76</v>
      </c>
      <c r="K10" s="3" t="s">
        <v>31</v>
      </c>
      <c r="L10">
        <v>3.35</v>
      </c>
      <c r="M10" s="3" t="s">
        <v>32</v>
      </c>
      <c r="N10">
        <v>17.12</v>
      </c>
      <c r="O10" s="3" t="s">
        <v>33</v>
      </c>
      <c r="P10">
        <v>66</v>
      </c>
      <c r="Q10">
        <v>412.42</v>
      </c>
      <c r="R10">
        <v>137.47333333333333</v>
      </c>
      <c r="S10">
        <v>12</v>
      </c>
      <c r="T10" s="3" t="s">
        <v>108</v>
      </c>
    </row>
    <row r="11" spans="1:20" x14ac:dyDescent="0.25">
      <c r="A11" s="3" t="s">
        <v>46</v>
      </c>
      <c r="B11" s="3" t="s">
        <v>26</v>
      </c>
      <c r="C11" s="3" t="s">
        <v>27</v>
      </c>
      <c r="D11">
        <v>832</v>
      </c>
      <c r="E11">
        <v>10</v>
      </c>
      <c r="F11">
        <v>12</v>
      </c>
      <c r="G11">
        <v>340</v>
      </c>
      <c r="H11" s="3" t="s">
        <v>47</v>
      </c>
      <c r="I11" s="3" t="s">
        <v>48</v>
      </c>
      <c r="J11" s="3" t="s">
        <v>38</v>
      </c>
      <c r="K11" s="3" t="s">
        <v>22</v>
      </c>
      <c r="L11">
        <v>45.93</v>
      </c>
      <c r="M11" s="3" t="s">
        <v>32</v>
      </c>
      <c r="N11">
        <v>4.37</v>
      </c>
      <c r="O11" s="3" t="s">
        <v>33</v>
      </c>
      <c r="P11">
        <v>56</v>
      </c>
      <c r="Q11">
        <v>854</v>
      </c>
      <c r="R11">
        <v>284.66666666666669</v>
      </c>
      <c r="S11">
        <v>12</v>
      </c>
      <c r="T11" s="3" t="s">
        <v>107</v>
      </c>
    </row>
    <row r="12" spans="1:20" x14ac:dyDescent="0.25">
      <c r="A12" s="3" t="s">
        <v>25</v>
      </c>
      <c r="B12" s="3" t="s">
        <v>26</v>
      </c>
      <c r="C12" s="3" t="s">
        <v>27</v>
      </c>
      <c r="D12">
        <v>761.26</v>
      </c>
      <c r="E12">
        <v>10</v>
      </c>
      <c r="F12">
        <v>15</v>
      </c>
      <c r="G12">
        <v>224</v>
      </c>
      <c r="H12" s="3" t="s">
        <v>28</v>
      </c>
      <c r="I12" s="3" t="s">
        <v>29</v>
      </c>
      <c r="J12" s="3" t="s">
        <v>30</v>
      </c>
      <c r="K12" s="3" t="s">
        <v>31</v>
      </c>
      <c r="L12">
        <v>20.88</v>
      </c>
      <c r="M12" s="3" t="s">
        <v>32</v>
      </c>
      <c r="N12">
        <v>16.11</v>
      </c>
      <c r="O12" s="3" t="s">
        <v>33</v>
      </c>
      <c r="P12">
        <v>79</v>
      </c>
      <c r="Q12">
        <v>786.26</v>
      </c>
      <c r="R12">
        <v>262.08666666666664</v>
      </c>
      <c r="S12">
        <v>12</v>
      </c>
      <c r="T12" s="3" t="s">
        <v>108</v>
      </c>
    </row>
    <row r="13" spans="1:20" x14ac:dyDescent="0.25">
      <c r="A13" s="3" t="s">
        <v>86</v>
      </c>
      <c r="B13" s="3" t="s">
        <v>87</v>
      </c>
      <c r="C13" s="3" t="s">
        <v>61</v>
      </c>
      <c r="D13">
        <v>204.73</v>
      </c>
      <c r="E13">
        <v>5</v>
      </c>
      <c r="F13">
        <v>15</v>
      </c>
      <c r="G13">
        <v>112</v>
      </c>
      <c r="H13" s="3" t="s">
        <v>88</v>
      </c>
      <c r="I13" s="3" t="s">
        <v>29</v>
      </c>
      <c r="J13" s="3" t="s">
        <v>30</v>
      </c>
      <c r="K13" s="3" t="s">
        <v>31</v>
      </c>
      <c r="L13">
        <v>10.029999999999999</v>
      </c>
      <c r="M13" s="3" t="s">
        <v>32</v>
      </c>
      <c r="N13">
        <v>17.739999999999998</v>
      </c>
      <c r="O13" s="3" t="s">
        <v>33</v>
      </c>
      <c r="P13">
        <v>27</v>
      </c>
      <c r="Q13">
        <v>224.73</v>
      </c>
      <c r="R13">
        <v>74.91</v>
      </c>
      <c r="S13">
        <v>15</v>
      </c>
      <c r="T13" s="3" t="s">
        <v>108</v>
      </c>
    </row>
    <row r="14" spans="1:20" x14ac:dyDescent="0.25">
      <c r="A14" s="3" t="s">
        <v>71</v>
      </c>
      <c r="B14" s="3" t="s">
        <v>72</v>
      </c>
      <c r="C14" s="3" t="s">
        <v>42</v>
      </c>
      <c r="D14">
        <v>1657.73</v>
      </c>
      <c r="E14">
        <v>15</v>
      </c>
      <c r="F14">
        <v>10</v>
      </c>
      <c r="G14">
        <v>300</v>
      </c>
      <c r="H14" s="3" t="s">
        <v>73</v>
      </c>
      <c r="I14" s="3" t="s">
        <v>52</v>
      </c>
      <c r="J14" s="3" t="s">
        <v>30</v>
      </c>
      <c r="K14" s="3" t="s">
        <v>31</v>
      </c>
      <c r="L14">
        <v>28.99</v>
      </c>
      <c r="M14" s="3" t="s">
        <v>54</v>
      </c>
      <c r="N14">
        <v>10.51</v>
      </c>
      <c r="O14" s="3" t="s">
        <v>33</v>
      </c>
      <c r="P14">
        <v>36</v>
      </c>
      <c r="Q14">
        <v>1682.73</v>
      </c>
      <c r="R14">
        <v>560.91</v>
      </c>
      <c r="S14">
        <v>10</v>
      </c>
      <c r="T14" s="3" t="s">
        <v>108</v>
      </c>
    </row>
    <row r="15" spans="1:20" x14ac:dyDescent="0.25">
      <c r="A15" s="3" t="s">
        <v>16</v>
      </c>
      <c r="B15" s="3" t="s">
        <v>17</v>
      </c>
      <c r="C15" s="3" t="s">
        <v>18</v>
      </c>
      <c r="D15">
        <v>53.85</v>
      </c>
      <c r="E15">
        <v>5</v>
      </c>
      <c r="F15">
        <v>15</v>
      </c>
      <c r="G15">
        <v>150</v>
      </c>
      <c r="H15" s="3" t="s">
        <v>19</v>
      </c>
      <c r="I15" s="3" t="s">
        <v>20</v>
      </c>
      <c r="J15" s="3" t="s">
        <v>21</v>
      </c>
      <c r="K15" s="3" t="s">
        <v>22</v>
      </c>
      <c r="L15">
        <v>23.32</v>
      </c>
      <c r="M15" s="3" t="s">
        <v>23</v>
      </c>
      <c r="N15">
        <v>4.49</v>
      </c>
      <c r="O15" s="3" t="s">
        <v>24</v>
      </c>
      <c r="P15">
        <v>56</v>
      </c>
      <c r="Q15">
        <v>73.849999999999994</v>
      </c>
      <c r="R15">
        <v>24.616666666666664</v>
      </c>
      <c r="S15">
        <v>4.49</v>
      </c>
      <c r="T15" s="3" t="s">
        <v>107</v>
      </c>
    </row>
    <row r="16" spans="1:20" x14ac:dyDescent="0.25">
      <c r="A16" s="3" t="s">
        <v>55</v>
      </c>
      <c r="B16" s="3" t="s">
        <v>56</v>
      </c>
      <c r="C16" s="3" t="s">
        <v>36</v>
      </c>
      <c r="D16">
        <v>1343.95</v>
      </c>
      <c r="E16">
        <v>0</v>
      </c>
      <c r="F16">
        <v>10</v>
      </c>
      <c r="G16">
        <v>493</v>
      </c>
      <c r="H16" s="3" t="s">
        <v>57</v>
      </c>
      <c r="I16" s="3" t="s">
        <v>44</v>
      </c>
      <c r="J16" s="3" t="s">
        <v>58</v>
      </c>
      <c r="K16" s="3" t="s">
        <v>31</v>
      </c>
      <c r="L16">
        <v>35.909999999999997</v>
      </c>
      <c r="M16" s="3" t="s">
        <v>32</v>
      </c>
      <c r="N16">
        <v>17.73</v>
      </c>
      <c r="O16" s="3" t="s">
        <v>24</v>
      </c>
      <c r="P16">
        <v>41</v>
      </c>
      <c r="Q16">
        <v>1353.95</v>
      </c>
      <c r="R16">
        <v>451.31666666666666</v>
      </c>
      <c r="S16">
        <v>10</v>
      </c>
      <c r="T16" s="3" t="s">
        <v>108</v>
      </c>
    </row>
    <row r="17" spans="1:20" x14ac:dyDescent="0.25">
      <c r="A17" s="3" t="s">
        <v>97</v>
      </c>
      <c r="B17" s="3" t="s">
        <v>90</v>
      </c>
      <c r="C17" s="3" t="s">
        <v>36</v>
      </c>
      <c r="D17">
        <v>713.69</v>
      </c>
      <c r="E17">
        <v>15</v>
      </c>
      <c r="F17">
        <v>10</v>
      </c>
      <c r="G17">
        <v>485</v>
      </c>
      <c r="H17" s="3" t="s">
        <v>98</v>
      </c>
      <c r="I17" s="3" t="s">
        <v>52</v>
      </c>
      <c r="J17" s="3" t="s">
        <v>53</v>
      </c>
      <c r="K17" s="3" t="s">
        <v>22</v>
      </c>
      <c r="L17">
        <v>36.33</v>
      </c>
      <c r="M17" s="3" t="s">
        <v>32</v>
      </c>
      <c r="N17">
        <v>1.95</v>
      </c>
      <c r="O17" s="3" t="s">
        <v>24</v>
      </c>
      <c r="P17">
        <v>64</v>
      </c>
      <c r="Q17">
        <v>738.69</v>
      </c>
      <c r="R17">
        <v>246.23000000000002</v>
      </c>
      <c r="S17">
        <v>10</v>
      </c>
      <c r="T17" s="3" t="s">
        <v>107</v>
      </c>
    </row>
    <row r="18" spans="1:20" x14ac:dyDescent="0.25">
      <c r="A18" s="3" t="s">
        <v>40</v>
      </c>
      <c r="B18" s="3" t="s">
        <v>41</v>
      </c>
      <c r="C18" s="3" t="s">
        <v>42</v>
      </c>
      <c r="D18">
        <v>295.24</v>
      </c>
      <c r="E18">
        <v>10</v>
      </c>
      <c r="F18">
        <v>15</v>
      </c>
      <c r="G18">
        <v>25</v>
      </c>
      <c r="H18" s="3" t="s">
        <v>43</v>
      </c>
      <c r="I18" s="3" t="s">
        <v>44</v>
      </c>
      <c r="J18" s="3" t="s">
        <v>45</v>
      </c>
      <c r="K18" s="3" t="s">
        <v>31</v>
      </c>
      <c r="L18">
        <v>27.49</v>
      </c>
      <c r="M18" s="3" t="s">
        <v>23</v>
      </c>
      <c r="N18">
        <v>1.31</v>
      </c>
      <c r="O18" s="3" t="s">
        <v>33</v>
      </c>
      <c r="P18">
        <v>93</v>
      </c>
      <c r="Q18">
        <v>320.24</v>
      </c>
      <c r="R18">
        <v>106.74666666666667</v>
      </c>
      <c r="S18">
        <v>15</v>
      </c>
      <c r="T18" s="3" t="s">
        <v>108</v>
      </c>
    </row>
    <row r="19" spans="1:20" x14ac:dyDescent="0.25">
      <c r="A19" s="3" t="s">
        <v>77</v>
      </c>
      <c r="B19" s="3" t="s">
        <v>78</v>
      </c>
      <c r="C19" s="3" t="s">
        <v>27</v>
      </c>
      <c r="D19">
        <v>1915.09</v>
      </c>
      <c r="E19">
        <v>20</v>
      </c>
      <c r="F19">
        <v>8</v>
      </c>
      <c r="G19">
        <v>332</v>
      </c>
      <c r="H19" s="3" t="s">
        <v>79</v>
      </c>
      <c r="I19" s="3" t="s">
        <v>20</v>
      </c>
      <c r="J19" s="3" t="s">
        <v>53</v>
      </c>
      <c r="K19" s="3" t="s">
        <v>109</v>
      </c>
      <c r="L19">
        <v>15.14</v>
      </c>
      <c r="M19" s="3" t="s">
        <v>23</v>
      </c>
      <c r="N19">
        <v>3.5</v>
      </c>
      <c r="O19" s="3" t="s">
        <v>33</v>
      </c>
      <c r="P19">
        <v>57</v>
      </c>
      <c r="Q19">
        <v>1943.09</v>
      </c>
      <c r="R19">
        <v>647.6966666666666</v>
      </c>
      <c r="S19">
        <v>8</v>
      </c>
      <c r="T19" s="3" t="s">
        <v>110</v>
      </c>
    </row>
    <row r="20" spans="1:20" x14ac:dyDescent="0.25">
      <c r="A20" s="3" t="s">
        <v>68</v>
      </c>
      <c r="B20" s="3" t="s">
        <v>69</v>
      </c>
      <c r="C20" s="3" t="s">
        <v>36</v>
      </c>
      <c r="D20">
        <v>1975.69</v>
      </c>
      <c r="E20">
        <v>20</v>
      </c>
      <c r="F20">
        <v>8</v>
      </c>
      <c r="G20">
        <v>132</v>
      </c>
      <c r="H20" s="3" t="s">
        <v>70</v>
      </c>
      <c r="I20" s="3" t="s">
        <v>44</v>
      </c>
      <c r="J20" s="3" t="s">
        <v>21</v>
      </c>
      <c r="K20" s="3" t="s">
        <v>31</v>
      </c>
      <c r="L20">
        <v>5.25</v>
      </c>
      <c r="M20" s="3" t="s">
        <v>32</v>
      </c>
      <c r="N20">
        <v>16.5</v>
      </c>
      <c r="O20" s="3" t="s">
        <v>24</v>
      </c>
      <c r="P20">
        <v>96</v>
      </c>
      <c r="Q20">
        <v>2003.69</v>
      </c>
      <c r="R20">
        <v>667.89666666666665</v>
      </c>
      <c r="S20">
        <v>8</v>
      </c>
      <c r="T20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2072-D937-4A43-B185-75392A953586}">
  <dimension ref="A1:X30"/>
  <sheetViews>
    <sheetView tabSelected="1" topLeftCell="I1" workbookViewId="0">
      <selection activeCell="J29" sqref="J29"/>
    </sheetView>
  </sheetViews>
  <sheetFormatPr defaultRowHeight="15" x14ac:dyDescent="0.25"/>
  <cols>
    <col min="1" max="1" width="12.28515625" customWidth="1"/>
    <col min="2" max="2" width="15.7109375" customWidth="1"/>
    <col min="3" max="3" width="11" customWidth="1"/>
    <col min="5" max="5" width="10.85546875" customWidth="1"/>
    <col min="6" max="6" width="10.5703125" customWidth="1"/>
    <col min="7" max="7" width="13" customWidth="1"/>
    <col min="8" max="8" width="12.85546875" customWidth="1"/>
    <col min="9" max="9" width="21.5703125" customWidth="1"/>
    <col min="10" max="10" width="19.5703125" customWidth="1"/>
    <col min="11" max="11" width="18.85546875" customWidth="1"/>
    <col min="12" max="12" width="15.140625" customWidth="1"/>
    <col min="13" max="13" width="18.42578125" customWidth="1"/>
    <col min="14" max="14" width="13.5703125" customWidth="1"/>
    <col min="15" max="15" width="13.28515625" customWidth="1"/>
    <col min="16" max="16" width="17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99</v>
      </c>
      <c r="R1" t="s">
        <v>100</v>
      </c>
      <c r="S1" t="s">
        <v>101</v>
      </c>
      <c r="T1" t="s">
        <v>106</v>
      </c>
      <c r="U1" t="s">
        <v>111</v>
      </c>
      <c r="V1" t="s">
        <v>112</v>
      </c>
      <c r="W1" t="s">
        <v>113</v>
      </c>
      <c r="X1" t="s">
        <v>114</v>
      </c>
    </row>
    <row r="2" spans="1:24" x14ac:dyDescent="0.25">
      <c r="A2" t="s">
        <v>16</v>
      </c>
      <c r="B2" t="s">
        <v>17</v>
      </c>
      <c r="C2" t="s">
        <v>18</v>
      </c>
      <c r="D2">
        <v>53.85</v>
      </c>
      <c r="E2">
        <v>5</v>
      </c>
      <c r="F2">
        <v>15</v>
      </c>
      <c r="G2">
        <v>150</v>
      </c>
      <c r="H2" t="s">
        <v>19</v>
      </c>
      <c r="I2" t="s">
        <v>20</v>
      </c>
      <c r="J2" t="s">
        <v>21</v>
      </c>
      <c r="K2" t="s">
        <v>22</v>
      </c>
      <c r="L2">
        <v>23.32</v>
      </c>
      <c r="M2" t="s">
        <v>23</v>
      </c>
      <c r="N2" s="5">
        <v>4.49</v>
      </c>
      <c r="O2" t="s">
        <v>24</v>
      </c>
      <c r="P2">
        <v>56</v>
      </c>
      <c r="Q2">
        <f>SUM(Table1[[#This Row],[Price]]:Table1[[#This Row],[Tax Rate]])</f>
        <v>73.849999999999994</v>
      </c>
      <c r="R2">
        <f>AVERAGE(Table1[[#This Row],[Price]]:Table1[[#This Row],[Tax Rate]])</f>
        <v>24.616666666666664</v>
      </c>
      <c r="S2">
        <f>MIN(Table1[[#This Row],[Discount]]:Table1[[#This Row],[Return Rate]])</f>
        <v>4.49</v>
      </c>
      <c r="T2" s="3" t="str">
        <f t="shared" ref="T2:T20" si="0">LEFT(K:K,1)</f>
        <v>M</v>
      </c>
      <c r="U2" s="3">
        <f t="shared" ref="U2:U20" si="1">SQRT(N:N)</f>
        <v>2.118962010041709</v>
      </c>
      <c r="V2" s="3">
        <f t="shared" ref="V2:V20" si="2">RANK(E3,E:E)</f>
        <v>11</v>
      </c>
      <c r="W2" s="3" t="str">
        <f>IF(Table1[[#Headers],[Discount]]&gt;8,"good","bad")</f>
        <v>good</v>
      </c>
      <c r="X2" s="3" cm="1">
        <f t="array" ref="X2">COUNT(_xlfn.UNIQUE(_xlfn._xlws.FILTER(Table1[Popularity Index],Table1[Popularity Index]&gt;Table1[[#This Row],[Popularity Index]])))</f>
        <v>11</v>
      </c>
    </row>
    <row r="3" spans="1:24" x14ac:dyDescent="0.25">
      <c r="A3" t="s">
        <v>25</v>
      </c>
      <c r="B3" t="s">
        <v>26</v>
      </c>
      <c r="C3" t="s">
        <v>27</v>
      </c>
      <c r="D3">
        <v>761.26</v>
      </c>
      <c r="E3">
        <v>10</v>
      </c>
      <c r="F3">
        <v>15</v>
      </c>
      <c r="G3">
        <v>224</v>
      </c>
      <c r="H3" t="s">
        <v>28</v>
      </c>
      <c r="I3" t="s">
        <v>29</v>
      </c>
      <c r="J3" t="s">
        <v>30</v>
      </c>
      <c r="K3" t="s">
        <v>31</v>
      </c>
      <c r="L3">
        <v>20.88</v>
      </c>
      <c r="M3" t="s">
        <v>32</v>
      </c>
      <c r="N3">
        <v>16.11</v>
      </c>
      <c r="O3" t="s">
        <v>33</v>
      </c>
      <c r="P3">
        <v>79</v>
      </c>
      <c r="Q3">
        <f>SUM(Table1[[#This Row],[Price]]:Table1[[#This Row],[Tax Rate]])</f>
        <v>786.26</v>
      </c>
      <c r="R3">
        <f>AVERAGE(Table1[[#This Row],[Price]]:Table1[[#This Row],[Tax Rate]])</f>
        <v>262.08666666666664</v>
      </c>
      <c r="T3" s="3" t="str">
        <f t="shared" si="0"/>
        <v>F</v>
      </c>
      <c r="U3" s="3">
        <f t="shared" si="1"/>
        <v>4.0137264480778958</v>
      </c>
      <c r="V3" s="3">
        <f t="shared" si="2"/>
        <v>14</v>
      </c>
      <c r="W3" s="3" t="str">
        <f>IF(Table1[[#Headers],[Discount]]&gt;8,"good","bad")</f>
        <v>good</v>
      </c>
      <c r="X3" s="3" cm="1">
        <f t="array" ref="X3">COUNT(_xlfn.UNIQUE(_xlfn._xlws.FILTER(Table1[Popularity Index],Table1[Popularity Index]&gt;Table1[[#This Row],[Popularity Index]])))</f>
        <v>5</v>
      </c>
    </row>
    <row r="4" spans="1:24" x14ac:dyDescent="0.25">
      <c r="A4" t="s">
        <v>34</v>
      </c>
      <c r="B4" t="s">
        <v>35</v>
      </c>
      <c r="C4" t="s">
        <v>36</v>
      </c>
      <c r="D4">
        <v>1756.76</v>
      </c>
      <c r="E4">
        <v>5</v>
      </c>
      <c r="F4">
        <v>8</v>
      </c>
      <c r="G4">
        <v>468</v>
      </c>
      <c r="H4" t="s">
        <v>37</v>
      </c>
      <c r="I4" t="s">
        <v>29</v>
      </c>
      <c r="J4" t="s">
        <v>38</v>
      </c>
      <c r="K4" t="s">
        <v>39</v>
      </c>
      <c r="L4">
        <v>16.43</v>
      </c>
      <c r="M4" t="s">
        <v>23</v>
      </c>
      <c r="N4">
        <v>4.93</v>
      </c>
      <c r="O4" t="s">
        <v>33</v>
      </c>
      <c r="P4">
        <v>40</v>
      </c>
      <c r="Q4">
        <f>SUM(Table1[[#This Row],[Price]]:Table1[[#This Row],[Tax Rate]])</f>
        <v>1769.76</v>
      </c>
      <c r="R4">
        <f>AVERAGE(Table1[[#This Row],[Price]]:Table1[[#This Row],[Tax Rate]])</f>
        <v>589.91999999999996</v>
      </c>
      <c r="S4">
        <f>MIN(Table1[[#This Row],[Tax Rate]])</f>
        <v>8</v>
      </c>
      <c r="T4" s="3" t="str">
        <f t="shared" si="0"/>
        <v>N</v>
      </c>
      <c r="U4" s="3">
        <f t="shared" si="1"/>
        <v>2.2203603311174516</v>
      </c>
      <c r="V4" s="3">
        <f t="shared" si="2"/>
        <v>11</v>
      </c>
      <c r="W4" s="3" t="str">
        <f>IF(Table1[[#Headers],[Discount]]&gt;8,"good","bad")</f>
        <v>good</v>
      </c>
      <c r="X4" s="3" cm="1">
        <f t="array" ref="X4">COUNT(_xlfn.UNIQUE(_xlfn._xlws.FILTER(Table1[Popularity Index],Table1[Popularity Index]&gt;Table1[[#This Row],[Popularity Index]])))</f>
        <v>13</v>
      </c>
    </row>
    <row r="5" spans="1:24" x14ac:dyDescent="0.25">
      <c r="A5" t="s">
        <v>40</v>
      </c>
      <c r="B5" t="s">
        <v>41</v>
      </c>
      <c r="C5" t="s">
        <v>42</v>
      </c>
      <c r="D5">
        <v>295.24</v>
      </c>
      <c r="E5">
        <v>10</v>
      </c>
      <c r="F5">
        <v>15</v>
      </c>
      <c r="G5">
        <v>25</v>
      </c>
      <c r="H5" t="s">
        <v>43</v>
      </c>
      <c r="I5" t="s">
        <v>44</v>
      </c>
      <c r="J5" t="s">
        <v>45</v>
      </c>
      <c r="K5" t="s">
        <v>31</v>
      </c>
      <c r="L5">
        <v>27.49</v>
      </c>
      <c r="M5" t="s">
        <v>23</v>
      </c>
      <c r="N5">
        <v>1.31</v>
      </c>
      <c r="O5" t="s">
        <v>33</v>
      </c>
      <c r="P5">
        <v>93</v>
      </c>
      <c r="Q5">
        <f>SUM(Table1[[#This Row],[Price]]:Table1[[#This Row],[Tax Rate]])</f>
        <v>320.24</v>
      </c>
      <c r="R5">
        <f>AVERAGE(Table1[[#This Row],[Price]]:Table1[[#This Row],[Tax Rate]])</f>
        <v>106.74666666666667</v>
      </c>
      <c r="S5">
        <f>MIN(Table1[[#This Row],[Tax Rate]])</f>
        <v>15</v>
      </c>
      <c r="T5" s="3" t="str">
        <f t="shared" si="0"/>
        <v>F</v>
      </c>
      <c r="U5" s="3">
        <f t="shared" si="1"/>
        <v>1.1445523142259597</v>
      </c>
      <c r="V5" s="3">
        <f t="shared" si="2"/>
        <v>11</v>
      </c>
      <c r="W5" s="3" t="str">
        <f>IF(Table1[[#Headers],[Discount]]&gt;8,"good","bad")</f>
        <v>good</v>
      </c>
      <c r="X5" s="3" cm="1">
        <f t="array" ref="X5">COUNT(_xlfn.UNIQUE(_xlfn._xlws.FILTER(Table1[Popularity Index],Table1[Popularity Index]&gt;Table1[[#This Row],[Popularity Index]])))</f>
        <v>1</v>
      </c>
    </row>
    <row r="6" spans="1:24" x14ac:dyDescent="0.25">
      <c r="A6" t="s">
        <v>46</v>
      </c>
      <c r="B6" t="s">
        <v>26</v>
      </c>
      <c r="C6" t="s">
        <v>27</v>
      </c>
      <c r="D6">
        <v>832</v>
      </c>
      <c r="E6">
        <v>10</v>
      </c>
      <c r="F6">
        <v>12</v>
      </c>
      <c r="G6">
        <v>340</v>
      </c>
      <c r="H6" t="s">
        <v>47</v>
      </c>
      <c r="I6" t="s">
        <v>48</v>
      </c>
      <c r="J6" t="s">
        <v>38</v>
      </c>
      <c r="K6" t="s">
        <v>22</v>
      </c>
      <c r="L6">
        <v>45.93</v>
      </c>
      <c r="M6" t="s">
        <v>32</v>
      </c>
      <c r="N6">
        <v>4.37</v>
      </c>
      <c r="O6" t="s">
        <v>33</v>
      </c>
      <c r="P6">
        <v>56</v>
      </c>
      <c r="Q6">
        <f>SUM(Table1[[#This Row],[Price]]:Table1[[#This Row],[Tax Rate]])</f>
        <v>854</v>
      </c>
      <c r="R6">
        <f>AVERAGE(Table1[[#This Row],[Price]]:Table1[[#This Row],[Tax Rate]])</f>
        <v>284.66666666666669</v>
      </c>
      <c r="S6">
        <f>MIN(Table1[[#This Row],[Tax Rate]])</f>
        <v>12</v>
      </c>
      <c r="T6" s="3" t="str">
        <f t="shared" si="0"/>
        <v>M</v>
      </c>
      <c r="U6" s="3">
        <f t="shared" si="1"/>
        <v>2.0904544960366871</v>
      </c>
      <c r="V6" s="3">
        <f t="shared" si="2"/>
        <v>7</v>
      </c>
      <c r="W6" s="3" t="str">
        <f>IF(Table1[[#Headers],[Discount]]&gt;8,"good","bad")</f>
        <v>good</v>
      </c>
      <c r="X6" s="3" cm="1">
        <f t="array" ref="X6">COUNT(_xlfn.UNIQUE(_xlfn._xlws.FILTER(Table1[Popularity Index],Table1[Popularity Index]&gt;Table1[[#This Row],[Popularity Index]])))</f>
        <v>11</v>
      </c>
    </row>
    <row r="7" spans="1:24" x14ac:dyDescent="0.25">
      <c r="A7" t="s">
        <v>49</v>
      </c>
      <c r="B7" t="s">
        <v>50</v>
      </c>
      <c r="C7" t="s">
        <v>42</v>
      </c>
      <c r="D7">
        <v>584.19000000000005</v>
      </c>
      <c r="E7">
        <v>15</v>
      </c>
      <c r="F7">
        <v>8</v>
      </c>
      <c r="G7">
        <v>204</v>
      </c>
      <c r="H7" t="s">
        <v>51</v>
      </c>
      <c r="I7" t="s">
        <v>52</v>
      </c>
      <c r="J7" t="s">
        <v>53</v>
      </c>
      <c r="K7" t="s">
        <v>31</v>
      </c>
      <c r="L7">
        <v>40.119999999999997</v>
      </c>
      <c r="M7" t="s">
        <v>54</v>
      </c>
      <c r="N7">
        <v>19.03</v>
      </c>
      <c r="O7" t="s">
        <v>33</v>
      </c>
      <c r="P7">
        <v>91</v>
      </c>
      <c r="Q7">
        <f>SUM(Table1[[#This Row],[Price]]:Table1[[#This Row],[Tax Rate]])</f>
        <v>607.19000000000005</v>
      </c>
      <c r="R7">
        <f>AVERAGE(Table1[[#This Row],[Price]]:Table1[[#This Row],[Tax Rate]])</f>
        <v>202.39666666666668</v>
      </c>
      <c r="S7">
        <f>MIN(Table1[[#This Row],[Tax Rate]])</f>
        <v>8</v>
      </c>
      <c r="T7" s="3" t="str">
        <f t="shared" si="0"/>
        <v>F</v>
      </c>
      <c r="U7" s="3">
        <f t="shared" si="1"/>
        <v>4.3623388222374473</v>
      </c>
      <c r="V7" s="3">
        <f t="shared" si="2"/>
        <v>18</v>
      </c>
      <c r="W7" s="3" t="str">
        <f>IF(Table1[[#Headers],[Discount]]&gt;8,"good","bad")</f>
        <v>good</v>
      </c>
      <c r="X7" s="3" cm="1">
        <f t="array" ref="X7">COUNT(_xlfn.UNIQUE(_xlfn._xlws.FILTER(Table1[Popularity Index],Table1[Popularity Index]&gt;Table1[[#This Row],[Popularity Index]])))</f>
        <v>3</v>
      </c>
    </row>
    <row r="8" spans="1:24" x14ac:dyDescent="0.25">
      <c r="A8" t="s">
        <v>55</v>
      </c>
      <c r="B8" t="s">
        <v>56</v>
      </c>
      <c r="C8" t="s">
        <v>36</v>
      </c>
      <c r="D8">
        <v>1343.95</v>
      </c>
      <c r="E8">
        <v>0</v>
      </c>
      <c r="F8">
        <v>10</v>
      </c>
      <c r="G8">
        <v>493</v>
      </c>
      <c r="H8" t="s">
        <v>57</v>
      </c>
      <c r="I8" t="s">
        <v>44</v>
      </c>
      <c r="J8" t="s">
        <v>58</v>
      </c>
      <c r="K8" t="s">
        <v>31</v>
      </c>
      <c r="L8">
        <v>35.909999999999997</v>
      </c>
      <c r="M8" t="s">
        <v>32</v>
      </c>
      <c r="N8">
        <v>17.73</v>
      </c>
      <c r="O8" t="s">
        <v>24</v>
      </c>
      <c r="P8">
        <v>41</v>
      </c>
      <c r="Q8">
        <f>SUM(Table1[[#This Row],[Price]]:Table1[[#This Row],[Tax Rate]])</f>
        <v>1353.95</v>
      </c>
      <c r="R8">
        <f>AVERAGE(Table1[[#This Row],[Price]]:Table1[[#This Row],[Tax Rate]])</f>
        <v>451.31666666666666</v>
      </c>
      <c r="S8">
        <f>MIN(Table1[[#This Row],[Tax Rate]])</f>
        <v>10</v>
      </c>
      <c r="T8" s="3" t="str">
        <f t="shared" si="0"/>
        <v>F</v>
      </c>
      <c r="U8" s="3">
        <f t="shared" si="1"/>
        <v>4.2107006542854597</v>
      </c>
      <c r="V8" s="3">
        <f t="shared" si="2"/>
        <v>18</v>
      </c>
      <c r="W8" s="3" t="str">
        <f>IF(Table1[[#Headers],[Discount]]&gt;8,"good","bad")</f>
        <v>good</v>
      </c>
      <c r="X8" s="3" cm="1">
        <f t="array" ref="X8">COUNT(_xlfn.UNIQUE(_xlfn._xlws.FILTER(Table1[Popularity Index],Table1[Popularity Index]&gt;Table1[[#This Row],[Popularity Index]])))</f>
        <v>12</v>
      </c>
    </row>
    <row r="9" spans="1:24" x14ac:dyDescent="0.25">
      <c r="A9" t="s">
        <v>59</v>
      </c>
      <c r="B9" t="s">
        <v>60</v>
      </c>
      <c r="C9" t="s">
        <v>61</v>
      </c>
      <c r="D9">
        <v>1873.52</v>
      </c>
      <c r="E9">
        <v>0</v>
      </c>
      <c r="F9">
        <v>15</v>
      </c>
      <c r="G9">
        <v>349</v>
      </c>
      <c r="H9" t="s">
        <v>62</v>
      </c>
      <c r="I9" t="s">
        <v>44</v>
      </c>
      <c r="J9" t="s">
        <v>63</v>
      </c>
      <c r="K9" t="s">
        <v>22</v>
      </c>
      <c r="L9">
        <v>46.42</v>
      </c>
      <c r="M9" t="s">
        <v>23</v>
      </c>
      <c r="N9">
        <v>4.79</v>
      </c>
      <c r="O9" t="s">
        <v>33</v>
      </c>
      <c r="P9">
        <v>60</v>
      </c>
      <c r="Q9">
        <f>SUM(Table1[[#This Row],[Price]]:Table1[[#This Row],[Tax Rate]])</f>
        <v>1888.52</v>
      </c>
      <c r="R9">
        <f>AVERAGE(Table1[[#This Row],[Price]]:Table1[[#This Row],[Tax Rate]])</f>
        <v>629.50666666666666</v>
      </c>
      <c r="S9">
        <f>MIN(Table1[[#This Row],[Tax Rate]])</f>
        <v>15</v>
      </c>
      <c r="T9" s="3" t="str">
        <f t="shared" si="0"/>
        <v>M</v>
      </c>
      <c r="U9" s="3">
        <f t="shared" si="1"/>
        <v>2.1886068628239288</v>
      </c>
      <c r="V9" s="3">
        <f t="shared" si="2"/>
        <v>1</v>
      </c>
      <c r="W9" s="3" t="str">
        <f>IF(Table1[[#Headers],[Discount]]&gt;8,"good","bad")</f>
        <v>good</v>
      </c>
      <c r="X9" s="3" cm="1">
        <f t="array" ref="X9">COUNT(_xlfn.UNIQUE(_xlfn._xlws.FILTER(Table1[Popularity Index],Table1[Popularity Index]&gt;Table1[[#This Row],[Popularity Index]])))</f>
        <v>9</v>
      </c>
    </row>
    <row r="10" spans="1:24" x14ac:dyDescent="0.25">
      <c r="A10" t="s">
        <v>64</v>
      </c>
      <c r="B10" t="s">
        <v>65</v>
      </c>
      <c r="C10" t="s">
        <v>42</v>
      </c>
      <c r="D10">
        <v>1586.65</v>
      </c>
      <c r="E10">
        <v>25</v>
      </c>
      <c r="F10">
        <v>5</v>
      </c>
      <c r="G10">
        <v>237</v>
      </c>
      <c r="H10" t="s">
        <v>66</v>
      </c>
      <c r="I10" t="s">
        <v>20</v>
      </c>
      <c r="J10" t="s">
        <v>67</v>
      </c>
      <c r="K10" t="s">
        <v>22</v>
      </c>
      <c r="L10">
        <v>33.1</v>
      </c>
      <c r="M10" t="s">
        <v>54</v>
      </c>
      <c r="N10">
        <v>2.5499999999999998</v>
      </c>
      <c r="O10" t="s">
        <v>24</v>
      </c>
      <c r="P10">
        <v>90</v>
      </c>
      <c r="Q10">
        <f>SUM(Table1[[#This Row],[Price]]:Table1[[#This Row],[Tax Rate]])</f>
        <v>1616.65</v>
      </c>
      <c r="R10">
        <f>AVERAGE(Table1[[#This Row],[Price]]:Table1[[#This Row],[Tax Rate]])</f>
        <v>538.88333333333333</v>
      </c>
      <c r="S10">
        <f>MIN(Table1[[#This Row],[Tax Rate]])</f>
        <v>5</v>
      </c>
      <c r="T10" s="3" t="str">
        <f t="shared" si="0"/>
        <v>M</v>
      </c>
      <c r="U10" s="3">
        <f t="shared" si="1"/>
        <v>1.5968719422671311</v>
      </c>
      <c r="V10" s="3">
        <f t="shared" si="2"/>
        <v>4</v>
      </c>
      <c r="W10" s="3" t="str">
        <f>IF(Table1[[#Headers],[Discount]]&gt;8,"good","bad")</f>
        <v>good</v>
      </c>
      <c r="X10" s="3" cm="1">
        <f t="array" ref="X10">COUNT(_xlfn.UNIQUE(_xlfn._xlws.FILTER(Table1[Popularity Index],Table1[Popularity Index]&gt;Table1[[#This Row],[Popularity Index]])))</f>
        <v>4</v>
      </c>
    </row>
    <row r="11" spans="1:24" x14ac:dyDescent="0.25">
      <c r="A11" t="s">
        <v>68</v>
      </c>
      <c r="B11" t="s">
        <v>69</v>
      </c>
      <c r="C11" t="s">
        <v>36</v>
      </c>
      <c r="D11">
        <v>1975.69</v>
      </c>
      <c r="E11">
        <v>20</v>
      </c>
      <c r="F11">
        <v>8</v>
      </c>
      <c r="G11">
        <v>132</v>
      </c>
      <c r="H11" t="s">
        <v>70</v>
      </c>
      <c r="I11" t="s">
        <v>44</v>
      </c>
      <c r="J11" t="s">
        <v>21</v>
      </c>
      <c r="K11" t="s">
        <v>31</v>
      </c>
      <c r="L11">
        <v>5.25</v>
      </c>
      <c r="M11" t="s">
        <v>32</v>
      </c>
      <c r="N11">
        <v>16.5</v>
      </c>
      <c r="O11" t="s">
        <v>24</v>
      </c>
      <c r="P11">
        <v>96</v>
      </c>
      <c r="Q11">
        <f>SUM(Table1[[#This Row],[Price]]:Table1[[#This Row],[Tax Rate]])</f>
        <v>2003.69</v>
      </c>
      <c r="R11">
        <f>AVERAGE(Table1[[#This Row],[Price]]:Table1[[#This Row],[Tax Rate]])</f>
        <v>667.89666666666665</v>
      </c>
      <c r="S11">
        <f>MIN(Table1[[#This Row],[Tax Rate]])</f>
        <v>8</v>
      </c>
      <c r="T11" s="3" t="str">
        <f t="shared" si="0"/>
        <v>F</v>
      </c>
      <c r="U11" s="3">
        <f t="shared" si="1"/>
        <v>4.0620192023179804</v>
      </c>
      <c r="V11" s="3">
        <f t="shared" si="2"/>
        <v>7</v>
      </c>
      <c r="W11" s="3" t="str">
        <f>IF(Table1[[#Headers],[Discount]]&gt;8,"good","bad")</f>
        <v>good</v>
      </c>
      <c r="X11" s="3" cm="1">
        <f t="array" ref="X11">COUNT(_xlfn.UNIQUE(_xlfn._xlws.FILTER(Table1[Popularity Index],Table1[Popularity Index]&gt;Table1[[#This Row],[Popularity Index]])))</f>
        <v>0</v>
      </c>
    </row>
    <row r="12" spans="1:24" x14ac:dyDescent="0.25">
      <c r="A12" t="s">
        <v>71</v>
      </c>
      <c r="B12" t="s">
        <v>72</v>
      </c>
      <c r="C12" t="s">
        <v>42</v>
      </c>
      <c r="D12">
        <v>1657.73</v>
      </c>
      <c r="E12">
        <v>15</v>
      </c>
      <c r="F12">
        <v>10</v>
      </c>
      <c r="G12">
        <v>300</v>
      </c>
      <c r="H12" t="s">
        <v>73</v>
      </c>
      <c r="I12" t="s">
        <v>52</v>
      </c>
      <c r="J12" t="s">
        <v>30</v>
      </c>
      <c r="K12" t="s">
        <v>31</v>
      </c>
      <c r="L12">
        <v>28.99</v>
      </c>
      <c r="M12" t="s">
        <v>54</v>
      </c>
      <c r="N12">
        <v>10.51</v>
      </c>
      <c r="O12" t="s">
        <v>33</v>
      </c>
      <c r="P12">
        <v>36</v>
      </c>
      <c r="Q12">
        <f>SUM(Table1[[#This Row],[Price]]:Table1[[#This Row],[Tax Rate]])</f>
        <v>1682.73</v>
      </c>
      <c r="R12">
        <f>AVERAGE(Table1[[#This Row],[Price]]:Table1[[#This Row],[Tax Rate]])</f>
        <v>560.91</v>
      </c>
      <c r="S12">
        <f>MIN(Table1[[#This Row],[Tax Rate]])</f>
        <v>10</v>
      </c>
      <c r="T12" s="3" t="str">
        <f t="shared" si="0"/>
        <v>F</v>
      </c>
      <c r="U12" s="3">
        <f t="shared" si="1"/>
        <v>3.2419130154894655</v>
      </c>
      <c r="V12" s="3">
        <f t="shared" si="2"/>
        <v>14</v>
      </c>
      <c r="W12" s="3" t="str">
        <f>IF(Table1[[#Headers],[Discount]]&gt;8,"good","bad")</f>
        <v>good</v>
      </c>
      <c r="X12" s="3" cm="1">
        <f t="array" ref="X12">COUNT(_xlfn.UNIQUE(_xlfn._xlws.FILTER(Table1[Popularity Index],Table1[Popularity Index]&gt;Table1[[#This Row],[Popularity Index]])))</f>
        <v>14</v>
      </c>
    </row>
    <row r="13" spans="1:24" x14ac:dyDescent="0.25">
      <c r="A13" t="s">
        <v>74</v>
      </c>
      <c r="B13" t="s">
        <v>65</v>
      </c>
      <c r="C13" t="s">
        <v>42</v>
      </c>
      <c r="D13">
        <v>395.42</v>
      </c>
      <c r="E13">
        <v>5</v>
      </c>
      <c r="F13">
        <v>12</v>
      </c>
      <c r="G13">
        <v>335</v>
      </c>
      <c r="H13" t="s">
        <v>75</v>
      </c>
      <c r="I13" t="s">
        <v>48</v>
      </c>
      <c r="J13" t="s">
        <v>76</v>
      </c>
      <c r="K13" t="s">
        <v>31</v>
      </c>
      <c r="L13">
        <v>3.35</v>
      </c>
      <c r="M13" t="s">
        <v>32</v>
      </c>
      <c r="N13">
        <v>17.12</v>
      </c>
      <c r="O13" t="s">
        <v>33</v>
      </c>
      <c r="P13">
        <v>66</v>
      </c>
      <c r="Q13">
        <f>SUM(Table1[[#This Row],[Price]]:Table1[[#This Row],[Tax Rate]])</f>
        <v>412.42</v>
      </c>
      <c r="R13">
        <f>AVERAGE(Table1[[#This Row],[Price]]:Table1[[#This Row],[Tax Rate]])</f>
        <v>137.47333333333333</v>
      </c>
      <c r="S13">
        <f>MIN(Table1[[#This Row],[Tax Rate]])</f>
        <v>12</v>
      </c>
      <c r="T13" s="3" t="str">
        <f t="shared" si="0"/>
        <v>F</v>
      </c>
      <c r="U13" s="3">
        <f t="shared" si="1"/>
        <v>4.1376321731154402</v>
      </c>
      <c r="V13" s="3">
        <f t="shared" si="2"/>
        <v>4</v>
      </c>
      <c r="W13" s="3" t="str">
        <f>IF(Table1[[#Headers],[Discount]]&gt;8,"good","bad")</f>
        <v>good</v>
      </c>
      <c r="X13" s="3" cm="1">
        <f t="array" ref="X13">COUNT(_xlfn.UNIQUE(_xlfn._xlws.FILTER(Table1[Popularity Index],Table1[Popularity Index]&gt;Table1[[#This Row],[Popularity Index]])))</f>
        <v>7</v>
      </c>
    </row>
    <row r="14" spans="1:24" x14ac:dyDescent="0.25">
      <c r="A14" t="s">
        <v>77</v>
      </c>
      <c r="B14" t="s">
        <v>78</v>
      </c>
      <c r="C14" t="s">
        <v>27</v>
      </c>
      <c r="D14">
        <v>1915.09</v>
      </c>
      <c r="E14">
        <v>20</v>
      </c>
      <c r="F14">
        <v>8</v>
      </c>
      <c r="G14">
        <v>332</v>
      </c>
      <c r="H14" t="s">
        <v>79</v>
      </c>
      <c r="I14" t="s">
        <v>20</v>
      </c>
      <c r="J14" t="s">
        <v>53</v>
      </c>
      <c r="K14" t="s">
        <v>39</v>
      </c>
      <c r="L14">
        <v>15.14</v>
      </c>
      <c r="M14" t="s">
        <v>23</v>
      </c>
      <c r="N14">
        <v>3.5</v>
      </c>
      <c r="O14" t="s">
        <v>33</v>
      </c>
      <c r="P14">
        <v>57</v>
      </c>
      <c r="Q14">
        <f>SUM(Table1[[#This Row],[Price]]:Table1[[#This Row],[Tax Rate]])</f>
        <v>1943.09</v>
      </c>
      <c r="R14">
        <f>AVERAGE(Table1[[#This Row],[Price]]:Table1[[#This Row],[Tax Rate]])</f>
        <v>647.6966666666666</v>
      </c>
      <c r="S14">
        <f>MIN(Table1[[#This Row],[Tax Rate]])</f>
        <v>8</v>
      </c>
      <c r="T14" s="3" t="str">
        <f t="shared" si="0"/>
        <v>N</v>
      </c>
      <c r="U14" s="3">
        <f t="shared" si="1"/>
        <v>1.8708286933869707</v>
      </c>
      <c r="V14" s="3">
        <f t="shared" si="2"/>
        <v>7</v>
      </c>
      <c r="W14" s="3" t="str">
        <f>IF(Table1[[#Headers],[Discount]]&gt;8,"good","bad")</f>
        <v>good</v>
      </c>
      <c r="X14" s="3" cm="1">
        <f t="array" ref="X14">COUNT(_xlfn.UNIQUE(_xlfn._xlws.FILTER(Table1[Popularity Index],Table1[Popularity Index]&gt;Table1[[#This Row],[Popularity Index]])))</f>
        <v>10</v>
      </c>
    </row>
    <row r="15" spans="1:24" x14ac:dyDescent="0.25">
      <c r="A15" t="s">
        <v>80</v>
      </c>
      <c r="B15" t="s">
        <v>65</v>
      </c>
      <c r="C15" t="s">
        <v>42</v>
      </c>
      <c r="D15">
        <v>1345.42</v>
      </c>
      <c r="E15">
        <v>15</v>
      </c>
      <c r="F15">
        <v>15</v>
      </c>
      <c r="G15">
        <v>150</v>
      </c>
      <c r="H15" t="s">
        <v>81</v>
      </c>
      <c r="I15" t="s">
        <v>48</v>
      </c>
      <c r="J15" t="s">
        <v>67</v>
      </c>
      <c r="K15" t="s">
        <v>39</v>
      </c>
      <c r="L15">
        <v>14.25</v>
      </c>
      <c r="M15" t="s">
        <v>23</v>
      </c>
      <c r="N15">
        <v>19.77</v>
      </c>
      <c r="O15" t="s">
        <v>24</v>
      </c>
      <c r="P15">
        <v>35</v>
      </c>
      <c r="Q15">
        <f>SUM(Table1[[#This Row],[Price]]:Table1[[#This Row],[Tax Rate]])</f>
        <v>1375.42</v>
      </c>
      <c r="R15">
        <f>AVERAGE(Table1[[#This Row],[Price]]:Table1[[#This Row],[Tax Rate]])</f>
        <v>458.47333333333336</v>
      </c>
      <c r="S15">
        <f>MIN(Table1[[#This Row],[Tax Rate]])</f>
        <v>15</v>
      </c>
      <c r="T15" s="3" t="str">
        <f t="shared" si="0"/>
        <v>N</v>
      </c>
      <c r="U15" s="3">
        <f t="shared" si="1"/>
        <v>4.4463468150831416</v>
      </c>
      <c r="V15" s="3">
        <f t="shared" si="2"/>
        <v>1</v>
      </c>
      <c r="W15" s="3" t="str">
        <f>IF(Table1[[#Headers],[Discount]]&gt;8,"good","bad")</f>
        <v>good</v>
      </c>
      <c r="X15" s="3" cm="1">
        <f t="array" ref="X15">COUNT(_xlfn.UNIQUE(_xlfn._xlws.FILTER(Table1[Popularity Index],Table1[Popularity Index]&gt;Table1[[#This Row],[Popularity Index]])))</f>
        <v>15</v>
      </c>
    </row>
    <row r="16" spans="1:24" x14ac:dyDescent="0.25">
      <c r="A16" t="s">
        <v>82</v>
      </c>
      <c r="B16" t="s">
        <v>83</v>
      </c>
      <c r="C16" t="s">
        <v>36</v>
      </c>
      <c r="D16">
        <v>302.74</v>
      </c>
      <c r="E16">
        <v>25</v>
      </c>
      <c r="F16">
        <v>12</v>
      </c>
      <c r="G16">
        <v>456</v>
      </c>
      <c r="H16" t="s">
        <v>84</v>
      </c>
      <c r="I16" t="s">
        <v>52</v>
      </c>
      <c r="J16" t="s">
        <v>85</v>
      </c>
      <c r="K16" t="s">
        <v>31</v>
      </c>
      <c r="L16">
        <v>44.1</v>
      </c>
      <c r="M16" t="s">
        <v>23</v>
      </c>
      <c r="N16">
        <v>7.05</v>
      </c>
      <c r="O16" t="s">
        <v>33</v>
      </c>
      <c r="P16">
        <v>3</v>
      </c>
      <c r="Q16">
        <f>SUM(Table1[[#This Row],[Price]]:Table1[[#This Row],[Tax Rate]])</f>
        <v>339.74</v>
      </c>
      <c r="R16">
        <f>AVERAGE(Table1[[#This Row],[Price]]:Table1[[#This Row],[Tax Rate]])</f>
        <v>113.24666666666667</v>
      </c>
      <c r="S16">
        <f>MIN(Table1[[#This Row],[Tax Rate]])</f>
        <v>12</v>
      </c>
      <c r="T16" s="3" t="str">
        <f t="shared" si="0"/>
        <v>F</v>
      </c>
      <c r="U16" s="3">
        <f t="shared" si="1"/>
        <v>2.6551836094703507</v>
      </c>
      <c r="V16" s="3">
        <f t="shared" si="2"/>
        <v>14</v>
      </c>
      <c r="W16" s="3" t="str">
        <f>IF(Table1[[#Headers],[Discount]]&gt;8,"good","bad")</f>
        <v>good</v>
      </c>
      <c r="X16" s="3" cm="1">
        <f t="array" ref="X16">COUNT(_xlfn.UNIQUE(_xlfn._xlws.FILTER(Table1[Popularity Index],Table1[Popularity Index]&gt;Table1[[#This Row],[Popularity Index]])))</f>
        <v>17</v>
      </c>
    </row>
    <row r="17" spans="1:24" x14ac:dyDescent="0.25">
      <c r="A17" t="s">
        <v>86</v>
      </c>
      <c r="B17" t="s">
        <v>87</v>
      </c>
      <c r="C17" t="s">
        <v>61</v>
      </c>
      <c r="D17">
        <v>204.73</v>
      </c>
      <c r="E17">
        <v>5</v>
      </c>
      <c r="F17">
        <v>15</v>
      </c>
      <c r="G17">
        <v>112</v>
      </c>
      <c r="H17" t="s">
        <v>88</v>
      </c>
      <c r="I17" t="s">
        <v>29</v>
      </c>
      <c r="J17" t="s">
        <v>30</v>
      </c>
      <c r="K17" t="s">
        <v>31</v>
      </c>
      <c r="L17">
        <v>10.029999999999999</v>
      </c>
      <c r="M17" t="s">
        <v>32</v>
      </c>
      <c r="N17">
        <v>17.739999999999998</v>
      </c>
      <c r="O17" t="s">
        <v>33</v>
      </c>
      <c r="P17">
        <v>27</v>
      </c>
      <c r="Q17">
        <f>SUM(Table1[[#This Row],[Price]]:Table1[[#This Row],[Tax Rate]])</f>
        <v>224.73</v>
      </c>
      <c r="R17">
        <f>AVERAGE(Table1[[#This Row],[Price]]:Table1[[#This Row],[Tax Rate]])</f>
        <v>74.91</v>
      </c>
      <c r="S17">
        <f>MIN(Table1[[#This Row],[Tax Rate]])</f>
        <v>15</v>
      </c>
      <c r="T17" s="3" t="str">
        <f t="shared" si="0"/>
        <v>F</v>
      </c>
      <c r="U17" s="3">
        <f t="shared" si="1"/>
        <v>4.2118879377305376</v>
      </c>
      <c r="V17" s="3">
        <f t="shared" si="2"/>
        <v>1</v>
      </c>
      <c r="W17" s="3" t="str">
        <f>IF(Table1[[#Headers],[Discount]]&gt;8,"good","bad")</f>
        <v>good</v>
      </c>
      <c r="X17" s="3" cm="1">
        <f t="array" ref="X17">COUNT(_xlfn.UNIQUE(_xlfn._xlws.FILTER(Table1[Popularity Index],Table1[Popularity Index]&gt;Table1[[#This Row],[Popularity Index]])))</f>
        <v>16</v>
      </c>
    </row>
    <row r="18" spans="1:24" x14ac:dyDescent="0.25">
      <c r="A18" t="s">
        <v>89</v>
      </c>
      <c r="B18" t="s">
        <v>90</v>
      </c>
      <c r="C18" t="s">
        <v>36</v>
      </c>
      <c r="D18">
        <v>1961.39</v>
      </c>
      <c r="E18">
        <v>25</v>
      </c>
      <c r="F18">
        <v>15</v>
      </c>
      <c r="G18">
        <v>420</v>
      </c>
      <c r="H18" t="s">
        <v>91</v>
      </c>
      <c r="I18" t="s">
        <v>20</v>
      </c>
      <c r="J18" t="s">
        <v>92</v>
      </c>
      <c r="K18" t="s">
        <v>39</v>
      </c>
      <c r="L18">
        <v>1.68</v>
      </c>
      <c r="M18" t="s">
        <v>32</v>
      </c>
      <c r="N18">
        <v>11.08</v>
      </c>
      <c r="O18" t="s">
        <v>33</v>
      </c>
      <c r="P18">
        <v>92</v>
      </c>
      <c r="Q18">
        <f>SUM(Table1[[#This Row],[Price]]:Table1[[#This Row],[Tax Rate]])</f>
        <v>2001.39</v>
      </c>
      <c r="R18">
        <f>AVERAGE(Table1[[#This Row],[Price]]:Table1[[#This Row],[Tax Rate]])</f>
        <v>667.13</v>
      </c>
      <c r="S18">
        <f>MIN(Table1[[#This Row],[Tax Rate]])</f>
        <v>15</v>
      </c>
      <c r="T18" s="3" t="str">
        <f t="shared" si="0"/>
        <v>N</v>
      </c>
      <c r="U18" s="3">
        <f t="shared" si="1"/>
        <v>3.3286633954186478</v>
      </c>
      <c r="V18" s="3">
        <f t="shared" si="2"/>
        <v>4</v>
      </c>
      <c r="W18" s="3" t="str">
        <f>IF(Table1[[#Headers],[Discount]]&gt;8,"good","bad")</f>
        <v>good</v>
      </c>
      <c r="X18" s="3" cm="1">
        <f t="array" ref="X18">COUNT(_xlfn.UNIQUE(_xlfn._xlws.FILTER(Table1[Popularity Index],Table1[Popularity Index]&gt;Table1[[#This Row],[Popularity Index]])))</f>
        <v>2</v>
      </c>
    </row>
    <row r="19" spans="1:24" x14ac:dyDescent="0.25">
      <c r="A19" t="s">
        <v>93</v>
      </c>
      <c r="B19" t="s">
        <v>94</v>
      </c>
      <c r="C19" t="s">
        <v>42</v>
      </c>
      <c r="D19">
        <v>812.75</v>
      </c>
      <c r="E19">
        <v>20</v>
      </c>
      <c r="F19">
        <v>15</v>
      </c>
      <c r="G19">
        <v>180</v>
      </c>
      <c r="H19" t="s">
        <v>95</v>
      </c>
      <c r="I19" t="s">
        <v>20</v>
      </c>
      <c r="J19" t="s">
        <v>96</v>
      </c>
      <c r="K19" t="s">
        <v>39</v>
      </c>
      <c r="L19">
        <v>2.4</v>
      </c>
      <c r="M19" t="s">
        <v>54</v>
      </c>
      <c r="N19">
        <v>10.33</v>
      </c>
      <c r="O19" t="s">
        <v>24</v>
      </c>
      <c r="P19">
        <v>72</v>
      </c>
      <c r="Q19">
        <f>SUM(Table1[[#This Row],[Price]]:Table1[[#This Row],[Tax Rate]])</f>
        <v>847.75</v>
      </c>
      <c r="R19">
        <f>AVERAGE(Table1[[#This Row],[Price]]:Table1[[#This Row],[Tax Rate]])</f>
        <v>282.58333333333331</v>
      </c>
      <c r="S19">
        <f>MIN(Table1[[#This Row],[Tax Rate]])</f>
        <v>15</v>
      </c>
      <c r="T19" s="3" t="str">
        <f t="shared" si="0"/>
        <v>N</v>
      </c>
      <c r="U19" s="3">
        <f t="shared" si="1"/>
        <v>3.2140317359976396</v>
      </c>
      <c r="V19" s="3">
        <f t="shared" si="2"/>
        <v>7</v>
      </c>
      <c r="W19" s="3" t="str">
        <f>IF(Table1[[#Headers],[Discount]]&gt;8,"good","bad")</f>
        <v>good</v>
      </c>
      <c r="X19" s="3" cm="1">
        <f t="array" ref="X19">COUNT(_xlfn.UNIQUE(_xlfn._xlws.FILTER(Table1[Popularity Index],Table1[Popularity Index]&gt;Table1[[#This Row],[Popularity Index]])))</f>
        <v>6</v>
      </c>
    </row>
    <row r="20" spans="1:24" x14ac:dyDescent="0.25">
      <c r="A20" t="s">
        <v>97</v>
      </c>
      <c r="B20" t="s">
        <v>90</v>
      </c>
      <c r="C20" t="s">
        <v>36</v>
      </c>
      <c r="D20">
        <v>713.69</v>
      </c>
      <c r="E20">
        <v>15</v>
      </c>
      <c r="F20">
        <v>10</v>
      </c>
      <c r="G20">
        <v>485</v>
      </c>
      <c r="H20" t="s">
        <v>98</v>
      </c>
      <c r="I20" t="s">
        <v>52</v>
      </c>
      <c r="J20" t="s">
        <v>53</v>
      </c>
      <c r="K20" t="s">
        <v>22</v>
      </c>
      <c r="L20">
        <v>36.33</v>
      </c>
      <c r="M20" t="s">
        <v>32</v>
      </c>
      <c r="N20">
        <v>1.95</v>
      </c>
      <c r="O20" t="s">
        <v>24</v>
      </c>
      <c r="P20">
        <v>64</v>
      </c>
      <c r="Q20">
        <f>SUM(Table1[[#This Row],[Price]]:Table1[[#This Row],[Tax Rate]])</f>
        <v>738.69</v>
      </c>
      <c r="R20">
        <f>AVERAGE(Table1[[#This Row],[Price]]:Table1[[#This Row],[Tax Rate]])</f>
        <v>246.23000000000002</v>
      </c>
      <c r="S20">
        <f>MIN(Table1[[#This Row],[Tax Rate]])</f>
        <v>10</v>
      </c>
      <c r="T20" s="3" t="str">
        <f t="shared" si="0"/>
        <v>M</v>
      </c>
      <c r="U20" s="3">
        <f t="shared" si="1"/>
        <v>1.3964240043768941</v>
      </c>
      <c r="V20" s="3">
        <f t="shared" si="2"/>
        <v>18</v>
      </c>
      <c r="W20" s="3" t="str">
        <f>IF(Table1[[#Headers],[Discount]]&gt;8,"good","bad")</f>
        <v>good</v>
      </c>
      <c r="X20" s="3" cm="1">
        <f t="array" ref="X20">COUNT(_xlfn.UNIQUE(_xlfn._xlws.FILTER(Table1[Popularity Index],Table1[Popularity Index]&gt;Table1[[#This Row],[Popularity Index]])))</f>
        <v>8</v>
      </c>
    </row>
    <row r="26" spans="1:24" x14ac:dyDescent="0.25">
      <c r="H26" s="4" t="s">
        <v>101</v>
      </c>
      <c r="I26">
        <f>MIN(D:D)</f>
        <v>53.85</v>
      </c>
      <c r="P26" t="str">
        <f>_xlfn.XLOOKUP(K2,K:K,M:M)</f>
        <v>Standard</v>
      </c>
    </row>
    <row r="27" spans="1:24" x14ac:dyDescent="0.25">
      <c r="H27" s="4" t="s">
        <v>102</v>
      </c>
      <c r="I27">
        <f>MAX(D:D)</f>
        <v>1975.69</v>
      </c>
    </row>
    <row r="28" spans="1:24" x14ac:dyDescent="0.25">
      <c r="H28" s="4" t="s">
        <v>103</v>
      </c>
      <c r="I28">
        <f>MEDIAN(L:L)</f>
        <v>23.32</v>
      </c>
    </row>
    <row r="29" spans="1:24" x14ac:dyDescent="0.25">
      <c r="H29" s="4" t="s">
        <v>104</v>
      </c>
      <c r="I29">
        <f>ROUND(D4,0)</f>
        <v>1757</v>
      </c>
      <c r="J29">
        <v>12092009</v>
      </c>
    </row>
    <row r="30" spans="1:24" x14ac:dyDescent="0.25">
      <c r="H30" s="4" t="s">
        <v>105</v>
      </c>
      <c r="I30" t="str">
        <f>LEFT(C10,3)</f>
        <v>Boo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C69-0D64-415A-BA11-A90F130592DC}">
  <dimension ref="A1:A19"/>
  <sheetViews>
    <sheetView workbookViewId="0">
      <selection activeCell="A18" sqref="A18:XFD18"/>
    </sheetView>
  </sheetViews>
  <sheetFormatPr defaultRowHeight="15" x14ac:dyDescent="0.25"/>
  <cols>
    <col min="1" max="1" width="16.5703125" bestFit="1" customWidth="1"/>
  </cols>
  <sheetData>
    <row r="1" spans="1:1" x14ac:dyDescent="0.25">
      <c r="A1" s="1" t="s">
        <v>18</v>
      </c>
    </row>
    <row r="2" spans="1:1" x14ac:dyDescent="0.25">
      <c r="A2" s="2" t="s">
        <v>27</v>
      </c>
    </row>
    <row r="3" spans="1:1" x14ac:dyDescent="0.25">
      <c r="A3" s="1" t="s">
        <v>36</v>
      </c>
    </row>
    <row r="4" spans="1:1" x14ac:dyDescent="0.25">
      <c r="A4" s="2" t="s">
        <v>42</v>
      </c>
    </row>
    <row r="5" spans="1:1" x14ac:dyDescent="0.25">
      <c r="A5" s="1" t="s">
        <v>27</v>
      </c>
    </row>
    <row r="6" spans="1:1" x14ac:dyDescent="0.25">
      <c r="A6" s="2" t="s">
        <v>42</v>
      </c>
    </row>
    <row r="7" spans="1:1" x14ac:dyDescent="0.25">
      <c r="A7" s="1" t="s">
        <v>36</v>
      </c>
    </row>
    <row r="8" spans="1:1" x14ac:dyDescent="0.25">
      <c r="A8" s="2" t="s">
        <v>61</v>
      </c>
    </row>
    <row r="9" spans="1:1" x14ac:dyDescent="0.25">
      <c r="A9" s="1" t="s">
        <v>42</v>
      </c>
    </row>
    <row r="10" spans="1:1" x14ac:dyDescent="0.25">
      <c r="A10" s="2" t="s">
        <v>36</v>
      </c>
    </row>
    <row r="11" spans="1:1" x14ac:dyDescent="0.25">
      <c r="A11" s="1" t="s">
        <v>42</v>
      </c>
    </row>
    <row r="12" spans="1:1" x14ac:dyDescent="0.25">
      <c r="A12" s="2" t="s">
        <v>42</v>
      </c>
    </row>
    <row r="13" spans="1:1" x14ac:dyDescent="0.25">
      <c r="A13" s="1" t="s">
        <v>27</v>
      </c>
    </row>
    <row r="14" spans="1:1" x14ac:dyDescent="0.25">
      <c r="A14" s="2" t="s">
        <v>42</v>
      </c>
    </row>
    <row r="15" spans="1:1" x14ac:dyDescent="0.25">
      <c r="A15" s="1" t="s">
        <v>36</v>
      </c>
    </row>
    <row r="16" spans="1:1" x14ac:dyDescent="0.25">
      <c r="A16" s="2" t="s">
        <v>61</v>
      </c>
    </row>
    <row r="17" spans="1:1" x14ac:dyDescent="0.25">
      <c r="A17" s="1" t="s">
        <v>36</v>
      </c>
    </row>
    <row r="18" spans="1:1" x14ac:dyDescent="0.25">
      <c r="A18" s="2" t="s">
        <v>42</v>
      </c>
    </row>
    <row r="19" spans="1:1" x14ac:dyDescent="0.25">
      <c r="A19" s="1" t="s">
        <v>36</v>
      </c>
    </row>
  </sheetData>
  <autoFilter ref="A1:A19" xr:uid="{C86BCC69-0D64-415A-BA11-A90F130592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C8452-B78E-424A-9F66-DB0C6A530F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</vt:lpstr>
      <vt:lpstr>Table1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2026-06-01T05:23:25Z</dcterms:created>
  <dcterms:modified xsi:type="dcterms:W3CDTF">2026-06-01T06:59:38Z</dcterms:modified>
</cp:coreProperties>
</file>