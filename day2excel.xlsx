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data_analytics\"/>
    </mc:Choice>
  </mc:AlternateContent>
  <bookViews>
    <workbookView xWindow="0" yWindow="0" windowWidth="19200" windowHeight="6930"/>
  </bookViews>
  <sheets>
    <sheet name="Sheet2" sheetId="2" r:id="rId1"/>
    <sheet name="Sheet1" sheetId="1" r:id="rId2"/>
  </sheets>
  <calcPr calcId="162913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1" i="1" l="1"/>
  <c r="P40" i="1"/>
  <c r="P37" i="1"/>
  <c r="P39" i="1"/>
  <c r="P38" i="1"/>
  <c r="P36" i="1"/>
</calcChain>
</file>

<file path=xl/sharedStrings.xml><?xml version="1.0" encoding="utf-8"?>
<sst xmlns="http://schemas.openxmlformats.org/spreadsheetml/2006/main" count="397" uniqueCount="136">
  <si>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</si>
  <si>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</si>
  <si>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</si>
  <si>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</si>
  <si>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</si>
  <si>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</si>
  <si>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</si>
  <si>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</si>
  <si>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</si>
  <si>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</si>
  <si>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</si>
  <si>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</si>
  <si>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</si>
  <si>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</si>
  <si>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Country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</si>
  <si>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</si>
  <si>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</si>
  <si>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</si>
  <si>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</si>
  <si>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</si>
  <si>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</si>
  <si>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</si>
  <si>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</si>
  <si>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</si>
  <si>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</si>
  <si>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High</t>
  </si>
  <si>
    <t>Bonnie Potter</t>
  </si>
  <si>
    <t>Express Air</t>
  </si>
  <si>
    <t>Corporate</t>
  </si>
  <si>
    <t>Office Supplies</t>
  </si>
  <si>
    <t>Pens &amp; Art Supplies</t>
  </si>
  <si>
    <t>Wrap Bag</t>
  </si>
  <si>
    <t>SANFORD Liquid Accent™ Tank-Style Highlighters</t>
  </si>
  <si>
    <t>United States</t>
  </si>
  <si>
    <t>West</t>
  </si>
  <si>
    <t>Washington</t>
  </si>
  <si>
    <t>Anacortes</t>
  </si>
  <si>
    <t>Not Specified</t>
  </si>
  <si>
    <t>Ronnie Proctor</t>
  </si>
  <si>
    <t>Delivery Truck</t>
  </si>
  <si>
    <t>Home Office</t>
  </si>
  <si>
    <t>Furniture</t>
  </si>
  <si>
    <t>Chairs &amp; Chairmats</t>
  </si>
  <si>
    <t>Jumbo Drum</t>
  </si>
  <si>
    <t>Global Troy™ Executive Leather Low-Back Tilter</t>
  </si>
  <si>
    <t>California</t>
  </si>
  <si>
    <t>San Gabriel</t>
  </si>
  <si>
    <t>Critical</t>
  </si>
  <si>
    <t>Marcus Dunlap</t>
  </si>
  <si>
    <t>Regular Air</t>
  </si>
  <si>
    <t>Office Furnishings</t>
  </si>
  <si>
    <t>Small Pack</t>
  </si>
  <si>
    <t>DAX Two-Tone Rosewood/Black Document Frame, Desktop, 5 x 7</t>
  </si>
  <si>
    <t>East</t>
  </si>
  <si>
    <t>New Jersey</t>
  </si>
  <si>
    <t>Roselle</t>
  </si>
  <si>
    <t>Medium</t>
  </si>
  <si>
    <t>Gwendolyn F Tyson</t>
  </si>
  <si>
    <t>Small Business</t>
  </si>
  <si>
    <t>Small Box</t>
  </si>
  <si>
    <t>Howard Miller 12-3/4 Diameter Accuwave DS ™ Wall Clock</t>
  </si>
  <si>
    <t>Central</t>
  </si>
  <si>
    <t>Minnesota</t>
  </si>
  <si>
    <t>Prior Lake</t>
  </si>
  <si>
    <t>Newell 321</t>
  </si>
  <si>
    <t>Newell 351</t>
  </si>
  <si>
    <t>Rubber Bands</t>
  </si>
  <si>
    <t>OIC Colored Binder Clips, Assorted Sizes</t>
  </si>
  <si>
    <t>Timothy Reese</t>
  </si>
  <si>
    <t>Envelopes</t>
  </si>
  <si>
    <t>Grip Seal Envelopes</t>
  </si>
  <si>
    <t>New York</t>
  </si>
  <si>
    <t>Smithtown</t>
  </si>
  <si>
    <t>Tyvek ® Top-Opening Peel &amp; Seel ® Envelopes, Gray</t>
  </si>
  <si>
    <t>Sarah Ramsey</t>
  </si>
  <si>
    <t>Staples Gold Paper Clips</t>
  </si>
  <si>
    <t>Syracuse</t>
  </si>
  <si>
    <t>Technology</t>
  </si>
  <si>
    <t>Telephones and Communication</t>
  </si>
  <si>
    <t>StarTAC 7797</t>
  </si>
  <si>
    <t>Laurie Hanna</t>
  </si>
  <si>
    <t>DAX Natural Wood-Tone Poster Frame</t>
  </si>
  <si>
    <t>Montana</t>
  </si>
  <si>
    <t>Helena</t>
  </si>
  <si>
    <t>Jim Rodgers</t>
  </si>
  <si>
    <t>Office Machines</t>
  </si>
  <si>
    <t>Medium Box</t>
  </si>
  <si>
    <t>Hewlett Packard 6S Scientific Calculator</t>
  </si>
  <si>
    <t>Missoula</t>
  </si>
  <si>
    <t>Tony Wilkins Winters</t>
  </si>
  <si>
    <t>New York City</t>
  </si>
  <si>
    <t>Advantus Plastic Paper Clips</t>
  </si>
  <si>
    <t>Edna Thomas</t>
  </si>
  <si>
    <t>Paper</t>
  </si>
  <si>
    <t>Xerox 194</t>
  </si>
  <si>
    <t>Laguna Niguel</t>
  </si>
  <si>
    <t>Newell 323</t>
  </si>
  <si>
    <t>Guy Gallagher</t>
  </si>
  <si>
    <t>Eldon Image Series Black Desk Accessories</t>
  </si>
  <si>
    <t>Lakewood</t>
  </si>
  <si>
    <t>Matthew Berman</t>
  </si>
  <si>
    <t>Hunt Boston® Vacuum Mount KS Pencil Sharpener</t>
  </si>
  <si>
    <t>Oregon</t>
  </si>
  <si>
    <t>Grants Pass</t>
  </si>
  <si>
    <t>Canon P1-DHIII Palm Printing Calculator</t>
  </si>
  <si>
    <t>StarTAC 3000</t>
  </si>
  <si>
    <t>Low</t>
  </si>
  <si>
    <t>TimeportP7382</t>
  </si>
  <si>
    <t>Ricky Hensley</t>
  </si>
  <si>
    <t>Binders and Binder Accessories</t>
  </si>
  <si>
    <t>Storex DuraTech Recycled Plastic Frosted Binders</t>
  </si>
  <si>
    <t>Gresham</t>
  </si>
  <si>
    <t>Newell 338</t>
  </si>
  <si>
    <t>Theodore Moran</t>
  </si>
  <si>
    <t>Consumer</t>
  </si>
  <si>
    <t>AT&amp;T 2230 Dual Handset Phone With Caller ID/Call Waiting</t>
  </si>
  <si>
    <t>Redmond</t>
  </si>
  <si>
    <t>Lorraine Kelly</t>
  </si>
  <si>
    <t>6160</t>
  </si>
  <si>
    <t>Puyallup</t>
  </si>
  <si>
    <t>Sidney Russell Austin</t>
  </si>
  <si>
    <t>Jumbo Box</t>
  </si>
  <si>
    <t>Okidata Pacemark 4410N Wide Format Dot Matrix Printer</t>
  </si>
  <si>
    <t>Xerox 1903</t>
  </si>
  <si>
    <t>Randall Montgomery</t>
  </si>
  <si>
    <t>Durable Pressboard Binders</t>
  </si>
  <si>
    <t>Tonawanda</t>
  </si>
  <si>
    <t>average profit</t>
  </si>
  <si>
    <t>product with maximum profit</t>
  </si>
  <si>
    <t>product with minimum profit</t>
  </si>
  <si>
    <t>median of sales</t>
  </si>
  <si>
    <t>frequently ordering customer</t>
  </si>
  <si>
    <t>std of sales</t>
  </si>
  <si>
    <t>Row Labels</t>
  </si>
  <si>
    <t>Grand Total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</si>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</sst>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Border="1"/>
    <xf numFmtId="14" fontId="0" fillId="0" borderId="0" xfId="0" applyNumberFormat="1"/>
    <xf numFmtId="0" fontId="0" fillId="0" borderId="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[day2excel.xlsx]Sheet2!PivotTable1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Sheet2!$A$4:$A$7</c:f>
              <c:strCache>
                <c:ptCount val="3"/>
                <c:pt idx="0">
                  <c:v>Central</c:v>
                </c:pt>
                <c:pt idx="1">
                  <c:v>East</c:v>
                </c:pt>
                <c:pt idx="2">
                  <c:v>West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741.70050000000003</c:v>
                </c:pt>
                <c:pt idx="1">
                  <c:v>1075.4875000000002</c:v>
                </c:pt>
                <c:pt idx="2">
                  <c:v>1594.3271200000006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B0-4EEB-B857-F782A782F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3</xdr:row>
      <xdr:rowOff>168275</xdr:rowOff>
    </xdr:from>
    <xdr:to>
      <xdr:col>11</xdr:col>
      <xdr:colOff>104775</xdr:colOff>
      <xdr:row>18</xdr:row>
      <xdr:rowOff>149225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3711575</xdr:colOff>
      <xdr:row>41</xdr:row>
      <xdr:rowOff>168275</xdr:rowOff>
    </xdr:from>
    <xdr:to>
      <xdr:col>18</xdr:col>
      <xdr:colOff>3175</xdr:colOff>
      <xdr:row>56</xdr:row>
      <xdr:rowOff>149225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70.917886921299" createdVersion="6" refreshedVersion="6" minRefreshableVersion="3" recordCount="30">
  <cacheSource type="worksheet">
    <worksheetSource ref="O1:Y31" sheet="Sheet1"/>
  </cacheSource>
  <cacheFields count="11">
    <cacheField name="Country" numFmtId="0">
      <sharedItems/>
    </cacheField>
    <cacheField name="Region" numFmtId="0">
      <sharedItems count="3">
        <s v="West"/>
        <s v="East"/>
        <s v="Central"/>
      </sharedItems>
    </cacheField>
    <cacheField name="State or Province" numFmtId="0">
      <sharedItems/>
    </cacheField>
    <cacheField name="City" numFmtId="0">
      <sharedItems/>
    </cacheField>
    <cacheField name="Postal Code" numFmtId="0">
      <sharedItems containsSemiMixedTypes="0" containsString="0" containsNumber="1" containsInteger="1" minValue="7203" maxValue="98373"/>
    </cacheField>
    <cacheField name="Order Date" numFmtId="14">
      <sharedItems containsSemiMixedTypes="0" containsNonDate="0" containsDate="1" containsString="0" minDate="2015-01-07T00:00:00" maxDate="2015-06-16T00:00:00"/>
    </cacheField>
    <cacheField name="Ship Date" numFmtId="14">
      <sharedItems containsSemiMixedTypes="0" containsNonDate="0" containsDate="1" containsString="0" minDate="2015-01-08T00:00:00" maxDate="2015-06-18T00:00:00"/>
    </cacheField>
    <cacheField name="Profit" numFmtId="0">
      <sharedItems containsSemiMixedTypes="0" containsString="0" containsNumber="1" minValue="-6923.5991999999997" maxValue="4390.3665000000001"/>
    </cacheField>
    <cacheField name="Quantity ordered new" numFmtId="0">
      <sharedItems containsSemiMixedTypes="0" containsString="0" containsNumber="1" containsInteger="1" minValue="1" maxValue="71"/>
    </cacheField>
    <cacheField name="Sales" numFmtId="0">
      <sharedItems containsSemiMixedTypes="0" containsString="0" containsNumber="1" minValue="2.25" maxValue="6362.85"/>
    </cacheField>
    <cacheField name="Order ID" numFmtId="0">
      <sharedItems containsSemiMixedTypes="0" containsString="0" containsNumber="1" containsInteger="1" minValue="41793" maxValue="914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s v="United States"/>
    <x v="0"/>
    <s v="Washington"/>
    <s v="Anacortes"/>
    <n v="98221"/>
    <d v="2015-01-07T00:00:00"/>
    <d v="2015-01-08T00:00:00"/>
    <n v="4.5599999999999996"/>
    <n v="4"/>
    <n v="13.01"/>
    <n v="88522"/>
  </r>
  <r>
    <s v="United States"/>
    <x v="0"/>
    <s v="California"/>
    <s v="San Gabriel"/>
    <n v="91776"/>
    <d v="2015-06-13T00:00:00"/>
    <d v="2015-06-15T00:00:00"/>
    <n v="4390.3665000000001"/>
    <n v="12"/>
    <n v="6362.85"/>
    <n v="90193"/>
  </r>
  <r>
    <s v="United States"/>
    <x v="1"/>
    <s v="New Jersey"/>
    <s v="Roselle"/>
    <n v="7203"/>
    <d v="2015-02-15T00:00:00"/>
    <d v="2015-02-17T00:00:00"/>
    <n v="-53.809600000000003"/>
    <n v="22"/>
    <n v="211.15"/>
    <n v="90192"/>
  </r>
  <r>
    <s v="United States"/>
    <x v="2"/>
    <s v="Minnesota"/>
    <s v="Prior Lake"/>
    <n v="55372"/>
    <d v="2015-05-12T00:00:00"/>
    <d v="2015-05-14T00:00:00"/>
    <n v="803.47050000000002"/>
    <n v="16"/>
    <n v="1164.45"/>
    <n v="86838"/>
  </r>
  <r>
    <s v="United States"/>
    <x v="2"/>
    <s v="Minnesota"/>
    <s v="Prior Lake"/>
    <n v="55372"/>
    <d v="2015-05-12T00:00:00"/>
    <d v="2015-05-13T00:00:00"/>
    <n v="-24.03"/>
    <n v="7"/>
    <n v="22.23"/>
    <n v="86838"/>
  </r>
  <r>
    <s v="United States"/>
    <x v="2"/>
    <s v="Minnesota"/>
    <s v="Prior Lake"/>
    <n v="55372"/>
    <d v="2015-05-12T00:00:00"/>
    <d v="2015-05-13T00:00:00"/>
    <n v="-37.03"/>
    <n v="4"/>
    <n v="13.99"/>
    <n v="86838"/>
  </r>
  <r>
    <s v="United States"/>
    <x v="2"/>
    <s v="Minnesota"/>
    <s v="Prior Lake"/>
    <n v="55372"/>
    <d v="2015-05-12T00:00:00"/>
    <d v="2015-05-13T00:00:00"/>
    <n v="-0.71"/>
    <n v="4"/>
    <n v="14.26"/>
    <n v="86838"/>
  </r>
  <r>
    <s v="United States"/>
    <x v="1"/>
    <s v="New York"/>
    <s v="Smithtown"/>
    <n v="11787"/>
    <d v="2015-04-08T00:00:00"/>
    <d v="2015-04-09T00:00:00"/>
    <n v="-59.82"/>
    <n v="7"/>
    <n v="33.47"/>
    <n v="86837"/>
  </r>
  <r>
    <s v="United States"/>
    <x v="1"/>
    <s v="New York"/>
    <s v="Smithtown"/>
    <n v="11787"/>
    <d v="2015-05-28T00:00:00"/>
    <d v="2015-05-28T00:00:00"/>
    <n v="261.87569999999994"/>
    <n v="10"/>
    <n v="379.53"/>
    <n v="86839"/>
  </r>
  <r>
    <s v="United States"/>
    <x v="1"/>
    <s v="New York"/>
    <s v="Syracuse"/>
    <n v="13210"/>
    <d v="2015-02-12T00:00:00"/>
    <d v="2015-02-15T00:00:00"/>
    <n v="2.63"/>
    <n v="6"/>
    <n v="18.8"/>
    <n v="86836"/>
  </r>
  <r>
    <s v="United States"/>
    <x v="1"/>
    <s v="New York"/>
    <s v="Syracuse"/>
    <n v="13210"/>
    <d v="2015-02-12T00:00:00"/>
    <d v="2015-02-14T00:00:00"/>
    <n v="652.73309999999992"/>
    <n v="10"/>
    <n v="945.99"/>
    <n v="86836"/>
  </r>
  <r>
    <s v="United States"/>
    <x v="0"/>
    <s v="Montana"/>
    <s v="Helena"/>
    <n v="59601"/>
    <d v="2015-05-15T00:00:00"/>
    <d v="2015-05-16T00:00:00"/>
    <n v="314.48129999999998"/>
    <n v="17"/>
    <n v="455.77"/>
    <n v="90031"/>
  </r>
  <r>
    <s v="United States"/>
    <x v="0"/>
    <s v="Montana"/>
    <s v="Missoula"/>
    <n v="59801"/>
    <d v="2015-05-21T00:00:00"/>
    <d v="2015-05-23T00:00:00"/>
    <n v="-114.63990000000001"/>
    <n v="18"/>
    <n v="231.79"/>
    <n v="90032"/>
  </r>
  <r>
    <s v="United States"/>
    <x v="1"/>
    <s v="New York"/>
    <s v="New York City"/>
    <n v="10012"/>
    <d v="2015-05-15T00:00:00"/>
    <d v="2015-05-16T00:00:00"/>
    <n v="384.38"/>
    <n v="70"/>
    <n v="1876.69"/>
    <n v="41793"/>
  </r>
  <r>
    <s v="United States"/>
    <x v="1"/>
    <s v="New York"/>
    <s v="New York City"/>
    <n v="10012"/>
    <d v="2015-05-21T00:00:00"/>
    <d v="2015-05-22T00:00:00"/>
    <n v="-17.489999999999998"/>
    <n v="58"/>
    <n v="293.06"/>
    <n v="42949"/>
  </r>
  <r>
    <s v="United States"/>
    <x v="1"/>
    <s v="New York"/>
    <s v="New York City"/>
    <n v="10012"/>
    <d v="2015-05-21T00:00:00"/>
    <d v="2015-05-23T00:00:00"/>
    <n v="-114.63990000000001"/>
    <n v="71"/>
    <n v="914.29"/>
    <n v="42949"/>
  </r>
  <r>
    <s v="United States"/>
    <x v="0"/>
    <s v="California"/>
    <s v="Laguna Niguel"/>
    <n v="92677"/>
    <d v="2015-01-28T00:00:00"/>
    <d v="2015-01-29T00:00:00"/>
    <n v="-28.296800000000001"/>
    <n v="1"/>
    <n v="67.489999999999995"/>
    <n v="87651"/>
  </r>
  <r>
    <s v="United States"/>
    <x v="0"/>
    <s v="California"/>
    <s v="Laguna Niguel"/>
    <n v="92677"/>
    <d v="2015-01-28T00:00:00"/>
    <d v="2015-01-30T00:00:00"/>
    <n v="-5.3071999999999999"/>
    <n v="1"/>
    <n v="2.25"/>
    <n v="87651"/>
  </r>
  <r>
    <s v="United States"/>
    <x v="0"/>
    <s v="California"/>
    <s v="Lakewood"/>
    <n v="90712"/>
    <d v="2015-05-02T00:00:00"/>
    <d v="2015-05-04T00:00:00"/>
    <n v="8.8940000000000055"/>
    <n v="12"/>
    <n v="54.78"/>
    <n v="87652"/>
  </r>
  <r>
    <s v="United States"/>
    <x v="0"/>
    <s v="Oregon"/>
    <s v="Grants Pass"/>
    <n v="97526"/>
    <d v="2015-02-22T00:00:00"/>
    <d v="2015-02-23T00:00:00"/>
    <n v="144.69"/>
    <n v="13"/>
    <n v="424.68"/>
    <n v="89199"/>
  </r>
  <r>
    <s v="United States"/>
    <x v="0"/>
    <s v="Oregon"/>
    <s v="Grants Pass"/>
    <n v="97526"/>
    <d v="2015-03-27T00:00:00"/>
    <d v="2015-03-28T00:00:00"/>
    <n v="-35.878799999999998"/>
    <n v="2"/>
    <n v="40.17"/>
    <n v="89200"/>
  </r>
  <r>
    <s v="United States"/>
    <x v="0"/>
    <s v="Oregon"/>
    <s v="Grants Pass"/>
    <n v="97526"/>
    <d v="2015-01-20T00:00:00"/>
    <d v="2015-01-22T00:00:00"/>
    <n v="209.99700000000001"/>
    <n v="8"/>
    <n v="783.55"/>
    <n v="89202"/>
  </r>
  <r>
    <s v="United States"/>
    <x v="0"/>
    <s v="Oregon"/>
    <s v="Grants Pass"/>
    <n v="97526"/>
    <d v="2015-03-12T00:00:00"/>
    <d v="2015-03-19T00:00:00"/>
    <n v="3568.096"/>
    <n v="22"/>
    <n v="3838.14"/>
    <n v="89203"/>
  </r>
  <r>
    <s v="United States"/>
    <x v="0"/>
    <s v="Oregon"/>
    <s v="Gresham"/>
    <n v="97030"/>
    <d v="2015-06-15T00:00:00"/>
    <d v="2015-06-17T00:00:00"/>
    <n v="-84.437600000000003"/>
    <n v="13"/>
    <n v="58.68"/>
    <n v="89201"/>
  </r>
  <r>
    <s v="United States"/>
    <x v="0"/>
    <s v="Oregon"/>
    <s v="Gresham"/>
    <n v="97030"/>
    <d v="2015-06-15T00:00:00"/>
    <d v="2015-06-16T00:00:00"/>
    <n v="24.312000000000001"/>
    <n v="18"/>
    <n v="53.1"/>
    <n v="89201"/>
  </r>
  <r>
    <s v="United States"/>
    <x v="0"/>
    <s v="Washington"/>
    <s v="Redmond"/>
    <n v="98052"/>
    <d v="2015-05-10T00:00:00"/>
    <d v="2015-05-11T00:00:00"/>
    <n v="25.913820000000015"/>
    <n v="6"/>
    <n v="647.07000000000005"/>
    <n v="91454"/>
  </r>
  <r>
    <s v="United States"/>
    <x v="0"/>
    <s v="Washington"/>
    <s v="Puyallup"/>
    <n v="98373"/>
    <d v="2015-03-10T00:00:00"/>
    <d v="2015-03-10T00:00:00"/>
    <n v="162.666"/>
    <n v="6"/>
    <n v="627.04"/>
    <n v="88426"/>
  </r>
  <r>
    <s v="United States"/>
    <x v="0"/>
    <s v="Washington"/>
    <s v="Redmond"/>
    <n v="98052"/>
    <d v="2015-01-28T00:00:00"/>
    <d v="2015-01-30T00:00:00"/>
    <n v="-6923.5991999999997"/>
    <n v="1"/>
    <n v="3267.55"/>
    <n v="88425"/>
  </r>
  <r>
    <s v="United States"/>
    <x v="0"/>
    <s v="Washington"/>
    <s v="Redmond"/>
    <n v="98052"/>
    <d v="2015-03-10T00:00:00"/>
    <d v="2015-03-11T00:00:00"/>
    <n v="-67.489999999999995"/>
    <n v="17"/>
    <n v="110.19"/>
    <n v="88426"/>
  </r>
  <r>
    <s v="United States"/>
    <x v="1"/>
    <s v="New York"/>
    <s v="Tonawanda"/>
    <n v="14150"/>
    <d v="2015-04-20T00:00:00"/>
    <d v="2015-04-21T00:00:00"/>
    <n v="19.6282"/>
    <n v="20"/>
    <n v="73.55"/>
    <n v="880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B7" firstHeaderRow="1" firstDataRow="1" firstDataCol="1"/>
  <pivotFields count="11"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tabSelected="1"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4" t="s">
        <v>133</v>
      </c>
      <c r="B3" t="s">
        <v>135</v>
      </c>
    </row>
    <row r="4" spans="1:2" x14ac:dyDescent="0.35">
      <c r="A4" s="5" t="s">
        <v>61</v>
      </c>
      <c r="B4" s="6">
        <v>741.70050000000003</v>
      </c>
    </row>
    <row r="5" spans="1:2" x14ac:dyDescent="0.35">
      <c r="A5" s="5" t="s">
        <v>53</v>
      </c>
      <c r="B5" s="6">
        <v>1075.4875000000002</v>
      </c>
    </row>
    <row r="6" spans="1:2" x14ac:dyDescent="0.35">
      <c r="A6" s="5" t="s">
        <v>34</v>
      </c>
      <c r="B6" s="6">
        <v>1594.3271200000006</v>
      </c>
    </row>
    <row r="7" spans="1:2" x14ac:dyDescent="0.35">
      <c r="A7" s="5" t="s">
        <v>134</v>
      </c>
      <c r="B7" s="6">
        <v>3411.5151200000009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topLeftCell="O1" workbookViewId="0">
      <selection activeCell="O1" sqref="O1:Y31"/>
    </sheetView>
  </sheetViews>
  <sheetFormatPr defaultRowHeight="14.5" x14ac:dyDescent="0.35"/>
  <cols>
    <col min="6" max="6" width="11.1796875" bestFit="1" customWidth="1"/>
    <col min="7" max="7" width="18.54296875" bestFit="1" customWidth="1"/>
    <col min="8" max="8" width="12.54296875" bestFit="1" customWidth="1"/>
    <col min="9" max="9" width="16.6328125" bestFit="1" customWidth="1"/>
    <col min="10" max="10" width="15.1796875" bestFit="1" customWidth="1"/>
    <col min="11" max="11" width="28.08984375" bestFit="1" customWidth="1"/>
    <col min="12" max="12" width="16" bestFit="1" customWidth="1"/>
    <col min="13" max="13" width="55.6328125" bestFit="1" customWidth="1"/>
    <col min="14" max="14" width="18.1796875" bestFit="1" customWidth="1"/>
    <col min="17" max="17" width="14.90625" bestFit="1" customWidth="1"/>
    <col min="18" max="18" width="12.36328125" bestFit="1" customWidth="1"/>
    <col min="19" max="19" width="10.5429687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</row>
    <row r="2" spans="1:25" x14ac:dyDescent="0.35">
      <c r="A2">
        <v>20847</v>
      </c>
      <c r="B2" t="s">
        <v>25</v>
      </c>
      <c r="C2">
        <v>0.01</v>
      </c>
      <c r="D2">
        <v>2.84</v>
      </c>
      <c r="E2">
        <v>0.93</v>
      </c>
      <c r="F2">
        <v>3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>
        <v>0.54</v>
      </c>
      <c r="O2" t="s">
        <v>33</v>
      </c>
      <c r="P2" t="s">
        <v>34</v>
      </c>
      <c r="Q2" t="s">
        <v>35</v>
      </c>
      <c r="R2" t="s">
        <v>36</v>
      </c>
      <c r="S2">
        <v>98221</v>
      </c>
      <c r="T2" s="2">
        <v>42011</v>
      </c>
      <c r="U2" s="2">
        <v>42012</v>
      </c>
      <c r="V2">
        <v>4.5599999999999996</v>
      </c>
      <c r="W2">
        <v>4</v>
      </c>
      <c r="X2">
        <v>13.01</v>
      </c>
      <c r="Y2" s="3">
        <v>88522</v>
      </c>
    </row>
    <row r="3" spans="1:25" x14ac:dyDescent="0.35">
      <c r="A3">
        <v>20228</v>
      </c>
      <c r="B3" t="s">
        <v>37</v>
      </c>
      <c r="C3">
        <v>0.02</v>
      </c>
      <c r="D3">
        <v>500.98</v>
      </c>
      <c r="E3">
        <v>26</v>
      </c>
      <c r="F3">
        <v>5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>
        <v>0.6</v>
      </c>
      <c r="O3" t="s">
        <v>33</v>
      </c>
      <c r="P3" t="s">
        <v>34</v>
      </c>
      <c r="Q3" t="s">
        <v>45</v>
      </c>
      <c r="R3" t="s">
        <v>46</v>
      </c>
      <c r="S3">
        <v>91776</v>
      </c>
      <c r="T3" s="2">
        <v>42168</v>
      </c>
      <c r="U3" s="2">
        <v>42170</v>
      </c>
      <c r="V3">
        <v>4390.3665000000001</v>
      </c>
      <c r="W3">
        <v>12</v>
      </c>
      <c r="X3">
        <v>6362.85</v>
      </c>
      <c r="Y3" s="3">
        <v>90193</v>
      </c>
    </row>
    <row r="4" spans="1:25" x14ac:dyDescent="0.35">
      <c r="A4">
        <v>21776</v>
      </c>
      <c r="B4" t="s">
        <v>47</v>
      </c>
      <c r="C4">
        <v>0.06</v>
      </c>
      <c r="D4">
        <v>9.48</v>
      </c>
      <c r="E4">
        <v>7.29</v>
      </c>
      <c r="F4">
        <v>11</v>
      </c>
      <c r="G4" t="s">
        <v>48</v>
      </c>
      <c r="H4" t="s">
        <v>49</v>
      </c>
      <c r="I4" t="s">
        <v>40</v>
      </c>
      <c r="J4" t="s">
        <v>41</v>
      </c>
      <c r="K4" t="s">
        <v>50</v>
      </c>
      <c r="L4" t="s">
        <v>51</v>
      </c>
      <c r="M4" t="s">
        <v>52</v>
      </c>
      <c r="N4">
        <v>0.45</v>
      </c>
      <c r="O4" t="s">
        <v>33</v>
      </c>
      <c r="P4" t="s">
        <v>53</v>
      </c>
      <c r="Q4" t="s">
        <v>54</v>
      </c>
      <c r="R4" t="s">
        <v>55</v>
      </c>
      <c r="S4">
        <v>7203</v>
      </c>
      <c r="T4" s="2">
        <v>42050</v>
      </c>
      <c r="U4" s="2">
        <v>42052</v>
      </c>
      <c r="V4">
        <v>-53.809600000000003</v>
      </c>
      <c r="W4">
        <v>22</v>
      </c>
      <c r="X4">
        <v>211.15</v>
      </c>
      <c r="Y4" s="3">
        <v>90192</v>
      </c>
    </row>
    <row r="5" spans="1:25" x14ac:dyDescent="0.35">
      <c r="A5">
        <v>24844</v>
      </c>
      <c r="B5" t="s">
        <v>56</v>
      </c>
      <c r="C5">
        <v>0.09</v>
      </c>
      <c r="D5">
        <v>78.69</v>
      </c>
      <c r="E5">
        <v>19.989999999999998</v>
      </c>
      <c r="F5">
        <v>14</v>
      </c>
      <c r="G5" t="s">
        <v>57</v>
      </c>
      <c r="H5" t="s">
        <v>49</v>
      </c>
      <c r="I5" t="s">
        <v>58</v>
      </c>
      <c r="J5" t="s">
        <v>41</v>
      </c>
      <c r="K5" t="s">
        <v>50</v>
      </c>
      <c r="L5" t="s">
        <v>59</v>
      </c>
      <c r="M5" t="s">
        <v>60</v>
      </c>
      <c r="N5">
        <v>0.43</v>
      </c>
      <c r="O5" t="s">
        <v>33</v>
      </c>
      <c r="P5" t="s">
        <v>61</v>
      </c>
      <c r="Q5" t="s">
        <v>62</v>
      </c>
      <c r="R5" t="s">
        <v>63</v>
      </c>
      <c r="S5">
        <v>55372</v>
      </c>
      <c r="T5" s="2">
        <v>42136</v>
      </c>
      <c r="U5" s="2">
        <v>42138</v>
      </c>
      <c r="V5">
        <v>803.47050000000002</v>
      </c>
      <c r="W5">
        <v>16</v>
      </c>
      <c r="X5">
        <v>1164.45</v>
      </c>
      <c r="Y5" s="3">
        <v>86838</v>
      </c>
    </row>
    <row r="6" spans="1:25" x14ac:dyDescent="0.35">
      <c r="A6">
        <v>24846</v>
      </c>
      <c r="B6" t="s">
        <v>56</v>
      </c>
      <c r="C6">
        <v>0.08</v>
      </c>
      <c r="D6">
        <v>3.28</v>
      </c>
      <c r="E6">
        <v>2.31</v>
      </c>
      <c r="F6">
        <v>14</v>
      </c>
      <c r="G6" t="s">
        <v>57</v>
      </c>
      <c r="H6" t="s">
        <v>49</v>
      </c>
      <c r="I6" t="s">
        <v>58</v>
      </c>
      <c r="J6" t="s">
        <v>29</v>
      </c>
      <c r="K6" t="s">
        <v>30</v>
      </c>
      <c r="L6" t="s">
        <v>31</v>
      </c>
      <c r="M6" t="s">
        <v>64</v>
      </c>
      <c r="N6">
        <v>0.56000000000000005</v>
      </c>
      <c r="O6" t="s">
        <v>33</v>
      </c>
      <c r="P6" t="s">
        <v>61</v>
      </c>
      <c r="Q6" t="s">
        <v>62</v>
      </c>
      <c r="R6" t="s">
        <v>63</v>
      </c>
      <c r="S6">
        <v>55372</v>
      </c>
      <c r="T6" s="2">
        <v>42136</v>
      </c>
      <c r="U6" s="2">
        <v>42137</v>
      </c>
      <c r="V6">
        <v>-24.03</v>
      </c>
      <c r="W6">
        <v>7</v>
      </c>
      <c r="X6">
        <v>22.23</v>
      </c>
      <c r="Y6" s="3">
        <v>86838</v>
      </c>
    </row>
    <row r="7" spans="1:25" x14ac:dyDescent="0.35">
      <c r="A7">
        <v>24847</v>
      </c>
      <c r="B7" t="s">
        <v>56</v>
      </c>
      <c r="C7">
        <v>0.05</v>
      </c>
      <c r="D7">
        <v>3.28</v>
      </c>
      <c r="E7">
        <v>4.2</v>
      </c>
      <c r="F7">
        <v>14</v>
      </c>
      <c r="G7" t="s">
        <v>57</v>
      </c>
      <c r="H7" t="s">
        <v>49</v>
      </c>
      <c r="I7" t="s">
        <v>58</v>
      </c>
      <c r="J7" t="s">
        <v>29</v>
      </c>
      <c r="K7" t="s">
        <v>30</v>
      </c>
      <c r="L7" t="s">
        <v>31</v>
      </c>
      <c r="M7" t="s">
        <v>65</v>
      </c>
      <c r="N7">
        <v>0.56000000000000005</v>
      </c>
      <c r="O7" t="s">
        <v>33</v>
      </c>
      <c r="P7" t="s">
        <v>61</v>
      </c>
      <c r="Q7" t="s">
        <v>62</v>
      </c>
      <c r="R7" t="s">
        <v>63</v>
      </c>
      <c r="S7">
        <v>55372</v>
      </c>
      <c r="T7" s="2">
        <v>42136</v>
      </c>
      <c r="U7" s="2">
        <v>42137</v>
      </c>
      <c r="V7">
        <v>-37.03</v>
      </c>
      <c r="W7">
        <v>4</v>
      </c>
      <c r="X7">
        <v>13.99</v>
      </c>
      <c r="Y7" s="3">
        <v>86838</v>
      </c>
    </row>
    <row r="8" spans="1:25" x14ac:dyDescent="0.35">
      <c r="A8">
        <v>24848</v>
      </c>
      <c r="B8" t="s">
        <v>56</v>
      </c>
      <c r="C8">
        <v>0.05</v>
      </c>
      <c r="D8">
        <v>3.58</v>
      </c>
      <c r="E8">
        <v>1.63</v>
      </c>
      <c r="F8">
        <v>14</v>
      </c>
      <c r="G8" t="s">
        <v>57</v>
      </c>
      <c r="H8" t="s">
        <v>49</v>
      </c>
      <c r="I8" t="s">
        <v>58</v>
      </c>
      <c r="J8" t="s">
        <v>29</v>
      </c>
      <c r="K8" t="s">
        <v>66</v>
      </c>
      <c r="L8" t="s">
        <v>31</v>
      </c>
      <c r="M8" t="s">
        <v>67</v>
      </c>
      <c r="N8">
        <v>0.36</v>
      </c>
      <c r="O8" t="s">
        <v>33</v>
      </c>
      <c r="P8" t="s">
        <v>61</v>
      </c>
      <c r="Q8" t="s">
        <v>62</v>
      </c>
      <c r="R8" t="s">
        <v>63</v>
      </c>
      <c r="S8">
        <v>55372</v>
      </c>
      <c r="T8" s="2">
        <v>42136</v>
      </c>
      <c r="U8" s="2">
        <v>42137</v>
      </c>
      <c r="V8">
        <v>-0.71</v>
      </c>
      <c r="W8">
        <v>4</v>
      </c>
      <c r="X8">
        <v>14.26</v>
      </c>
      <c r="Y8" s="3">
        <v>86838</v>
      </c>
    </row>
    <row r="9" spans="1:25" x14ac:dyDescent="0.35">
      <c r="A9">
        <v>18181</v>
      </c>
      <c r="B9" t="s">
        <v>47</v>
      </c>
      <c r="C9">
        <v>0</v>
      </c>
      <c r="D9">
        <v>4.42</v>
      </c>
      <c r="E9">
        <v>4.99</v>
      </c>
      <c r="F9">
        <v>15</v>
      </c>
      <c r="G9" t="s">
        <v>68</v>
      </c>
      <c r="H9" t="s">
        <v>49</v>
      </c>
      <c r="I9" t="s">
        <v>58</v>
      </c>
      <c r="J9" t="s">
        <v>29</v>
      </c>
      <c r="K9" t="s">
        <v>69</v>
      </c>
      <c r="L9" t="s">
        <v>59</v>
      </c>
      <c r="M9" t="s">
        <v>70</v>
      </c>
      <c r="N9">
        <v>0.38</v>
      </c>
      <c r="O9" t="s">
        <v>33</v>
      </c>
      <c r="P9" t="s">
        <v>53</v>
      </c>
      <c r="Q9" t="s">
        <v>71</v>
      </c>
      <c r="R9" t="s">
        <v>72</v>
      </c>
      <c r="S9">
        <v>11787</v>
      </c>
      <c r="T9" s="2">
        <v>42102</v>
      </c>
      <c r="U9" s="2">
        <v>42103</v>
      </c>
      <c r="V9">
        <v>-59.82</v>
      </c>
      <c r="W9">
        <v>7</v>
      </c>
      <c r="X9">
        <v>33.47</v>
      </c>
      <c r="Y9" s="3">
        <v>86837</v>
      </c>
    </row>
    <row r="10" spans="1:25" x14ac:dyDescent="0.35">
      <c r="A10">
        <v>20925</v>
      </c>
      <c r="B10" t="s">
        <v>56</v>
      </c>
      <c r="C10">
        <v>0.01</v>
      </c>
      <c r="D10">
        <v>35.94</v>
      </c>
      <c r="E10">
        <v>6.66</v>
      </c>
      <c r="F10">
        <v>15</v>
      </c>
      <c r="G10" t="s">
        <v>68</v>
      </c>
      <c r="H10" t="s">
        <v>49</v>
      </c>
      <c r="I10" t="s">
        <v>58</v>
      </c>
      <c r="J10" t="s">
        <v>29</v>
      </c>
      <c r="K10" t="s">
        <v>69</v>
      </c>
      <c r="L10" t="s">
        <v>59</v>
      </c>
      <c r="M10" t="s">
        <v>73</v>
      </c>
      <c r="N10">
        <v>0.4</v>
      </c>
      <c r="O10" t="s">
        <v>33</v>
      </c>
      <c r="P10" t="s">
        <v>53</v>
      </c>
      <c r="Q10" t="s">
        <v>71</v>
      </c>
      <c r="R10" t="s">
        <v>72</v>
      </c>
      <c r="S10">
        <v>11787</v>
      </c>
      <c r="T10" s="2">
        <v>42152</v>
      </c>
      <c r="U10" s="2">
        <v>42152</v>
      </c>
      <c r="V10">
        <v>261.87569999999994</v>
      </c>
      <c r="W10">
        <v>10</v>
      </c>
      <c r="X10">
        <v>379.53</v>
      </c>
      <c r="Y10" s="3">
        <v>86839</v>
      </c>
    </row>
    <row r="11" spans="1:25" x14ac:dyDescent="0.35">
      <c r="A11">
        <v>26267</v>
      </c>
      <c r="B11" t="s">
        <v>25</v>
      </c>
      <c r="C11">
        <v>0.04</v>
      </c>
      <c r="D11">
        <v>2.98</v>
      </c>
      <c r="E11">
        <v>1.58</v>
      </c>
      <c r="F11">
        <v>16</v>
      </c>
      <c r="G11" t="s">
        <v>74</v>
      </c>
      <c r="H11" t="s">
        <v>49</v>
      </c>
      <c r="I11" t="s">
        <v>58</v>
      </c>
      <c r="J11" t="s">
        <v>29</v>
      </c>
      <c r="K11" t="s">
        <v>66</v>
      </c>
      <c r="L11" t="s">
        <v>31</v>
      </c>
      <c r="M11" t="s">
        <v>75</v>
      </c>
      <c r="N11">
        <v>0.39</v>
      </c>
      <c r="O11" t="s">
        <v>33</v>
      </c>
      <c r="P11" t="s">
        <v>53</v>
      </c>
      <c r="Q11" t="s">
        <v>71</v>
      </c>
      <c r="R11" t="s">
        <v>76</v>
      </c>
      <c r="S11">
        <v>13210</v>
      </c>
      <c r="T11" s="2">
        <v>42047</v>
      </c>
      <c r="U11" s="2">
        <v>42050</v>
      </c>
      <c r="V11">
        <v>2.63</v>
      </c>
      <c r="W11">
        <v>6</v>
      </c>
      <c r="X11">
        <v>18.8</v>
      </c>
      <c r="Y11" s="3">
        <v>86836</v>
      </c>
    </row>
    <row r="12" spans="1:25" x14ac:dyDescent="0.35">
      <c r="A12">
        <v>26268</v>
      </c>
      <c r="B12" t="s">
        <v>25</v>
      </c>
      <c r="C12">
        <v>0.05</v>
      </c>
      <c r="D12">
        <v>115.99</v>
      </c>
      <c r="E12">
        <v>2.5</v>
      </c>
      <c r="F12">
        <v>16</v>
      </c>
      <c r="G12" t="s">
        <v>74</v>
      </c>
      <c r="H12" t="s">
        <v>49</v>
      </c>
      <c r="I12" t="s">
        <v>58</v>
      </c>
      <c r="J12" t="s">
        <v>77</v>
      </c>
      <c r="K12" t="s">
        <v>78</v>
      </c>
      <c r="L12" t="s">
        <v>59</v>
      </c>
      <c r="M12" t="s">
        <v>79</v>
      </c>
      <c r="N12">
        <v>0.55000000000000004</v>
      </c>
      <c r="O12" t="s">
        <v>33</v>
      </c>
      <c r="P12" t="s">
        <v>53</v>
      </c>
      <c r="Q12" t="s">
        <v>71</v>
      </c>
      <c r="R12" t="s">
        <v>76</v>
      </c>
      <c r="S12">
        <v>13210</v>
      </c>
      <c r="T12" s="2">
        <v>42047</v>
      </c>
      <c r="U12" s="2">
        <v>42049</v>
      </c>
      <c r="V12">
        <v>652.73309999999992</v>
      </c>
      <c r="W12">
        <v>10</v>
      </c>
      <c r="X12">
        <v>945.99</v>
      </c>
      <c r="Y12" s="3">
        <v>86836</v>
      </c>
    </row>
    <row r="13" spans="1:25" x14ac:dyDescent="0.35">
      <c r="A13">
        <v>23890</v>
      </c>
      <c r="B13" t="s">
        <v>25</v>
      </c>
      <c r="C13">
        <v>0.05</v>
      </c>
      <c r="D13">
        <v>26.48</v>
      </c>
      <c r="E13">
        <v>6.93</v>
      </c>
      <c r="F13">
        <v>18</v>
      </c>
      <c r="G13" t="s">
        <v>80</v>
      </c>
      <c r="H13" t="s">
        <v>49</v>
      </c>
      <c r="I13" t="s">
        <v>58</v>
      </c>
      <c r="J13" t="s">
        <v>41</v>
      </c>
      <c r="K13" t="s">
        <v>50</v>
      </c>
      <c r="L13" t="s">
        <v>59</v>
      </c>
      <c r="M13" t="s">
        <v>81</v>
      </c>
      <c r="N13">
        <v>0.49</v>
      </c>
      <c r="O13" t="s">
        <v>33</v>
      </c>
      <c r="P13" t="s">
        <v>34</v>
      </c>
      <c r="Q13" t="s">
        <v>82</v>
      </c>
      <c r="R13" t="s">
        <v>83</v>
      </c>
      <c r="S13">
        <v>59601</v>
      </c>
      <c r="T13" s="2">
        <v>42139</v>
      </c>
      <c r="U13" s="2">
        <v>42140</v>
      </c>
      <c r="V13">
        <v>314.48129999999998</v>
      </c>
      <c r="W13">
        <v>17</v>
      </c>
      <c r="X13">
        <v>455.77</v>
      </c>
      <c r="Y13" s="3">
        <v>90031</v>
      </c>
    </row>
    <row r="14" spans="1:25" x14ac:dyDescent="0.35">
      <c r="A14">
        <v>24063</v>
      </c>
      <c r="B14" t="s">
        <v>37</v>
      </c>
      <c r="C14">
        <v>7.0000000000000007E-2</v>
      </c>
      <c r="D14">
        <v>12.99</v>
      </c>
      <c r="E14">
        <v>9.44</v>
      </c>
      <c r="F14">
        <v>19</v>
      </c>
      <c r="G14" t="s">
        <v>84</v>
      </c>
      <c r="H14" t="s">
        <v>49</v>
      </c>
      <c r="I14" t="s">
        <v>58</v>
      </c>
      <c r="J14" t="s">
        <v>77</v>
      </c>
      <c r="K14" t="s">
        <v>85</v>
      </c>
      <c r="L14" t="s">
        <v>86</v>
      </c>
      <c r="M14" t="s">
        <v>87</v>
      </c>
      <c r="N14">
        <v>0.39</v>
      </c>
      <c r="O14" t="s">
        <v>33</v>
      </c>
      <c r="P14" t="s">
        <v>34</v>
      </c>
      <c r="Q14" t="s">
        <v>82</v>
      </c>
      <c r="R14" t="s">
        <v>88</v>
      </c>
      <c r="S14">
        <v>59801</v>
      </c>
      <c r="T14" s="2">
        <v>42145</v>
      </c>
      <c r="U14" s="2">
        <v>42147</v>
      </c>
      <c r="V14">
        <v>-114.63990000000001</v>
      </c>
      <c r="W14">
        <v>18</v>
      </c>
      <c r="X14">
        <v>231.79</v>
      </c>
      <c r="Y14" s="3">
        <v>90032</v>
      </c>
    </row>
    <row r="15" spans="1:25" x14ac:dyDescent="0.35">
      <c r="A15">
        <v>5890</v>
      </c>
      <c r="B15" t="s">
        <v>25</v>
      </c>
      <c r="C15">
        <v>0.05</v>
      </c>
      <c r="D15">
        <v>26.48</v>
      </c>
      <c r="E15">
        <v>6.93</v>
      </c>
      <c r="F15">
        <v>21</v>
      </c>
      <c r="G15" t="s">
        <v>89</v>
      </c>
      <c r="H15" t="s">
        <v>49</v>
      </c>
      <c r="I15" t="s">
        <v>58</v>
      </c>
      <c r="J15" t="s">
        <v>41</v>
      </c>
      <c r="K15" t="s">
        <v>50</v>
      </c>
      <c r="L15" t="s">
        <v>59</v>
      </c>
      <c r="M15" t="s">
        <v>81</v>
      </c>
      <c r="N15">
        <v>0.49</v>
      </c>
      <c r="O15" t="s">
        <v>33</v>
      </c>
      <c r="P15" t="s">
        <v>53</v>
      </c>
      <c r="Q15" t="s">
        <v>71</v>
      </c>
      <c r="R15" t="s">
        <v>90</v>
      </c>
      <c r="S15">
        <v>10012</v>
      </c>
      <c r="T15" s="2">
        <v>42139</v>
      </c>
      <c r="U15" s="2">
        <v>42140</v>
      </c>
      <c r="V15">
        <v>384.38</v>
      </c>
      <c r="W15">
        <v>70</v>
      </c>
      <c r="X15">
        <v>1876.69</v>
      </c>
      <c r="Y15" s="3">
        <v>41793</v>
      </c>
    </row>
    <row r="16" spans="1:25" x14ac:dyDescent="0.35">
      <c r="A16">
        <v>6062</v>
      </c>
      <c r="B16" t="s">
        <v>37</v>
      </c>
      <c r="C16">
        <v>0.08</v>
      </c>
      <c r="D16">
        <v>5</v>
      </c>
      <c r="E16">
        <v>3.39</v>
      </c>
      <c r="F16">
        <v>21</v>
      </c>
      <c r="G16" t="s">
        <v>89</v>
      </c>
      <c r="H16" t="s">
        <v>49</v>
      </c>
      <c r="I16" t="s">
        <v>58</v>
      </c>
      <c r="J16" t="s">
        <v>29</v>
      </c>
      <c r="K16" t="s">
        <v>66</v>
      </c>
      <c r="L16" t="s">
        <v>31</v>
      </c>
      <c r="M16" t="s">
        <v>91</v>
      </c>
      <c r="N16">
        <v>0.37</v>
      </c>
      <c r="O16" t="s">
        <v>33</v>
      </c>
      <c r="P16" t="s">
        <v>53</v>
      </c>
      <c r="Q16" t="s">
        <v>71</v>
      </c>
      <c r="R16" t="s">
        <v>90</v>
      </c>
      <c r="S16">
        <v>10012</v>
      </c>
      <c r="T16" s="2">
        <v>42145</v>
      </c>
      <c r="U16" s="2">
        <v>42146</v>
      </c>
      <c r="V16">
        <v>-17.489999999999998</v>
      </c>
      <c r="W16">
        <v>58</v>
      </c>
      <c r="X16">
        <v>293.06</v>
      </c>
      <c r="Y16" s="3">
        <v>42949</v>
      </c>
    </row>
    <row r="17" spans="1:25" x14ac:dyDescent="0.35">
      <c r="A17">
        <v>6063</v>
      </c>
      <c r="B17" t="s">
        <v>37</v>
      </c>
      <c r="C17">
        <v>7.0000000000000007E-2</v>
      </c>
      <c r="D17">
        <v>12.99</v>
      </c>
      <c r="E17">
        <v>9.44</v>
      </c>
      <c r="F17">
        <v>21</v>
      </c>
      <c r="G17" t="s">
        <v>89</v>
      </c>
      <c r="H17" t="s">
        <v>49</v>
      </c>
      <c r="I17" t="s">
        <v>58</v>
      </c>
      <c r="J17" t="s">
        <v>77</v>
      </c>
      <c r="K17" t="s">
        <v>85</v>
      </c>
      <c r="L17" t="s">
        <v>86</v>
      </c>
      <c r="M17" t="s">
        <v>87</v>
      </c>
      <c r="N17">
        <v>0.39</v>
      </c>
      <c r="O17" t="s">
        <v>33</v>
      </c>
      <c r="P17" t="s">
        <v>53</v>
      </c>
      <c r="Q17" t="s">
        <v>71</v>
      </c>
      <c r="R17" t="s">
        <v>90</v>
      </c>
      <c r="S17">
        <v>10012</v>
      </c>
      <c r="T17" s="2">
        <v>42145</v>
      </c>
      <c r="U17" s="2">
        <v>42147</v>
      </c>
      <c r="V17">
        <v>-114.63990000000001</v>
      </c>
      <c r="W17">
        <v>71</v>
      </c>
      <c r="X17">
        <v>914.29</v>
      </c>
      <c r="Y17" s="3">
        <v>42949</v>
      </c>
    </row>
    <row r="18" spans="1:25" x14ac:dyDescent="0.35">
      <c r="A18">
        <v>20631</v>
      </c>
      <c r="B18" t="s">
        <v>25</v>
      </c>
      <c r="C18">
        <v>0.06</v>
      </c>
      <c r="D18">
        <v>55.48</v>
      </c>
      <c r="E18">
        <v>14.3</v>
      </c>
      <c r="F18">
        <v>24</v>
      </c>
      <c r="G18" t="s">
        <v>92</v>
      </c>
      <c r="H18" t="s">
        <v>49</v>
      </c>
      <c r="I18" t="s">
        <v>28</v>
      </c>
      <c r="J18" t="s">
        <v>29</v>
      </c>
      <c r="K18" t="s">
        <v>93</v>
      </c>
      <c r="L18" t="s">
        <v>59</v>
      </c>
      <c r="M18" t="s">
        <v>94</v>
      </c>
      <c r="N18">
        <v>0.37</v>
      </c>
      <c r="O18" t="s">
        <v>33</v>
      </c>
      <c r="P18" t="s">
        <v>34</v>
      </c>
      <c r="Q18" t="s">
        <v>45</v>
      </c>
      <c r="R18" t="s">
        <v>95</v>
      </c>
      <c r="S18">
        <v>92677</v>
      </c>
      <c r="T18" s="2">
        <v>42032</v>
      </c>
      <c r="U18" s="2">
        <v>42033</v>
      </c>
      <c r="V18">
        <v>-28.296800000000001</v>
      </c>
      <c r="W18">
        <v>1</v>
      </c>
      <c r="X18">
        <v>67.489999999999995</v>
      </c>
      <c r="Y18" s="3">
        <v>87651</v>
      </c>
    </row>
    <row r="19" spans="1:25" x14ac:dyDescent="0.35">
      <c r="A19">
        <v>20632</v>
      </c>
      <c r="B19" t="s">
        <v>25</v>
      </c>
      <c r="C19">
        <v>0.02</v>
      </c>
      <c r="D19">
        <v>1.68</v>
      </c>
      <c r="E19">
        <v>1.57</v>
      </c>
      <c r="F19">
        <v>24</v>
      </c>
      <c r="G19" t="s">
        <v>92</v>
      </c>
      <c r="H19" t="s">
        <v>49</v>
      </c>
      <c r="I19" t="s">
        <v>28</v>
      </c>
      <c r="J19" t="s">
        <v>29</v>
      </c>
      <c r="K19" t="s">
        <v>30</v>
      </c>
      <c r="L19" t="s">
        <v>31</v>
      </c>
      <c r="M19" t="s">
        <v>96</v>
      </c>
      <c r="N19">
        <v>0.59</v>
      </c>
      <c r="O19" t="s">
        <v>33</v>
      </c>
      <c r="P19" t="s">
        <v>34</v>
      </c>
      <c r="Q19" t="s">
        <v>45</v>
      </c>
      <c r="R19" t="s">
        <v>95</v>
      </c>
      <c r="S19">
        <v>92677</v>
      </c>
      <c r="T19" s="2">
        <v>42032</v>
      </c>
      <c r="U19" s="2">
        <v>42034</v>
      </c>
      <c r="V19">
        <v>-5.3071999999999999</v>
      </c>
      <c r="W19">
        <v>1</v>
      </c>
      <c r="X19">
        <v>2.25</v>
      </c>
      <c r="Y19" s="3">
        <v>87651</v>
      </c>
    </row>
    <row r="20" spans="1:25" x14ac:dyDescent="0.35">
      <c r="A20">
        <v>23967</v>
      </c>
      <c r="B20" t="s">
        <v>37</v>
      </c>
      <c r="C20">
        <v>0.04</v>
      </c>
      <c r="D20">
        <v>4.1399999999999997</v>
      </c>
      <c r="E20">
        <v>6.6</v>
      </c>
      <c r="F20">
        <v>27</v>
      </c>
      <c r="G20" t="s">
        <v>97</v>
      </c>
      <c r="H20" t="s">
        <v>49</v>
      </c>
      <c r="I20" t="s">
        <v>28</v>
      </c>
      <c r="J20" t="s">
        <v>41</v>
      </c>
      <c r="K20" t="s">
        <v>50</v>
      </c>
      <c r="L20" t="s">
        <v>59</v>
      </c>
      <c r="M20" t="s">
        <v>98</v>
      </c>
      <c r="N20">
        <v>0.49</v>
      </c>
      <c r="O20" t="s">
        <v>33</v>
      </c>
      <c r="P20" t="s">
        <v>34</v>
      </c>
      <c r="Q20" t="s">
        <v>45</v>
      </c>
      <c r="R20" t="s">
        <v>99</v>
      </c>
      <c r="S20">
        <v>90712</v>
      </c>
      <c r="T20" s="2">
        <v>42126</v>
      </c>
      <c r="U20" s="2">
        <v>42128</v>
      </c>
      <c r="V20">
        <v>8.8940000000000055</v>
      </c>
      <c r="W20">
        <v>12</v>
      </c>
      <c r="X20">
        <v>54.78</v>
      </c>
      <c r="Y20" s="3">
        <v>87652</v>
      </c>
    </row>
    <row r="21" spans="1:25" x14ac:dyDescent="0.35">
      <c r="A21">
        <v>23509</v>
      </c>
      <c r="B21" t="s">
        <v>25</v>
      </c>
      <c r="C21">
        <v>0.08</v>
      </c>
      <c r="D21">
        <v>34.99</v>
      </c>
      <c r="E21">
        <v>7.73</v>
      </c>
      <c r="F21">
        <v>32</v>
      </c>
      <c r="G21" t="s">
        <v>100</v>
      </c>
      <c r="H21" t="s">
        <v>49</v>
      </c>
      <c r="I21" t="s">
        <v>28</v>
      </c>
      <c r="J21" t="s">
        <v>29</v>
      </c>
      <c r="K21" t="s">
        <v>30</v>
      </c>
      <c r="L21" t="s">
        <v>59</v>
      </c>
      <c r="M21" t="s">
        <v>101</v>
      </c>
      <c r="N21">
        <v>0.59</v>
      </c>
      <c r="O21" t="s">
        <v>33</v>
      </c>
      <c r="P21" t="s">
        <v>34</v>
      </c>
      <c r="Q21" t="s">
        <v>102</v>
      </c>
      <c r="R21" t="s">
        <v>103</v>
      </c>
      <c r="S21">
        <v>97526</v>
      </c>
      <c r="T21" s="2">
        <v>42057</v>
      </c>
      <c r="U21" s="2">
        <v>42058</v>
      </c>
      <c r="V21">
        <v>144.69</v>
      </c>
      <c r="W21">
        <v>13</v>
      </c>
      <c r="X21">
        <v>424.68</v>
      </c>
      <c r="Y21" s="3">
        <v>89199</v>
      </c>
    </row>
    <row r="22" spans="1:25" x14ac:dyDescent="0.35">
      <c r="A22">
        <v>23612</v>
      </c>
      <c r="B22" t="s">
        <v>25</v>
      </c>
      <c r="C22">
        <v>0.01</v>
      </c>
      <c r="D22">
        <v>17.98</v>
      </c>
      <c r="E22">
        <v>8.51</v>
      </c>
      <c r="F22">
        <v>32</v>
      </c>
      <c r="G22" t="s">
        <v>100</v>
      </c>
      <c r="H22" t="s">
        <v>49</v>
      </c>
      <c r="I22" t="s">
        <v>28</v>
      </c>
      <c r="J22" t="s">
        <v>77</v>
      </c>
      <c r="K22" t="s">
        <v>85</v>
      </c>
      <c r="L22" t="s">
        <v>86</v>
      </c>
      <c r="M22" t="s">
        <v>104</v>
      </c>
      <c r="N22">
        <v>0.4</v>
      </c>
      <c r="O22" t="s">
        <v>33</v>
      </c>
      <c r="P22" t="s">
        <v>34</v>
      </c>
      <c r="Q22" t="s">
        <v>102</v>
      </c>
      <c r="R22" t="s">
        <v>103</v>
      </c>
      <c r="S22">
        <v>97526</v>
      </c>
      <c r="T22" s="2">
        <v>42090</v>
      </c>
      <c r="U22" s="2">
        <v>42091</v>
      </c>
      <c r="V22">
        <v>-35.878799999999998</v>
      </c>
      <c r="W22">
        <v>2</v>
      </c>
      <c r="X22">
        <v>40.17</v>
      </c>
      <c r="Y22" s="3">
        <v>89200</v>
      </c>
    </row>
    <row r="23" spans="1:25" x14ac:dyDescent="0.35">
      <c r="A23">
        <v>23278</v>
      </c>
      <c r="B23" t="s">
        <v>56</v>
      </c>
      <c r="C23">
        <v>0.09</v>
      </c>
      <c r="D23">
        <v>125.99</v>
      </c>
      <c r="E23">
        <v>7.69</v>
      </c>
      <c r="F23">
        <v>32</v>
      </c>
      <c r="G23" t="s">
        <v>100</v>
      </c>
      <c r="H23" t="s">
        <v>27</v>
      </c>
      <c r="I23" t="s">
        <v>28</v>
      </c>
      <c r="J23" t="s">
        <v>77</v>
      </c>
      <c r="K23" t="s">
        <v>78</v>
      </c>
      <c r="L23" t="s">
        <v>59</v>
      </c>
      <c r="M23" t="s">
        <v>105</v>
      </c>
      <c r="N23">
        <v>0.59</v>
      </c>
      <c r="O23" t="s">
        <v>33</v>
      </c>
      <c r="P23" t="s">
        <v>34</v>
      </c>
      <c r="Q23" t="s">
        <v>102</v>
      </c>
      <c r="R23" t="s">
        <v>103</v>
      </c>
      <c r="S23">
        <v>97526</v>
      </c>
      <c r="T23" s="2">
        <v>42024</v>
      </c>
      <c r="U23" s="2">
        <v>42026</v>
      </c>
      <c r="V23">
        <v>209.99700000000001</v>
      </c>
      <c r="W23">
        <v>8</v>
      </c>
      <c r="X23">
        <v>783.55</v>
      </c>
      <c r="Y23" s="3">
        <v>89202</v>
      </c>
    </row>
    <row r="24" spans="1:25" x14ac:dyDescent="0.35">
      <c r="A24">
        <v>19355</v>
      </c>
      <c r="B24" t="s">
        <v>106</v>
      </c>
      <c r="C24">
        <v>0.06</v>
      </c>
      <c r="D24">
        <v>205.99</v>
      </c>
      <c r="E24">
        <v>8.99</v>
      </c>
      <c r="F24">
        <v>32</v>
      </c>
      <c r="G24" t="s">
        <v>100</v>
      </c>
      <c r="H24" t="s">
        <v>49</v>
      </c>
      <c r="I24" t="s">
        <v>28</v>
      </c>
      <c r="J24" t="s">
        <v>77</v>
      </c>
      <c r="K24" t="s">
        <v>78</v>
      </c>
      <c r="L24" t="s">
        <v>59</v>
      </c>
      <c r="M24" t="s">
        <v>107</v>
      </c>
      <c r="N24">
        <v>0.56000000000000005</v>
      </c>
      <c r="O24" t="s">
        <v>33</v>
      </c>
      <c r="P24" t="s">
        <v>34</v>
      </c>
      <c r="Q24" t="s">
        <v>102</v>
      </c>
      <c r="R24" t="s">
        <v>103</v>
      </c>
      <c r="S24">
        <v>97526</v>
      </c>
      <c r="T24" s="2">
        <v>42075</v>
      </c>
      <c r="U24" s="2">
        <v>42082</v>
      </c>
      <c r="V24">
        <v>3568.096</v>
      </c>
      <c r="W24">
        <v>22</v>
      </c>
      <c r="X24">
        <v>3838.14</v>
      </c>
      <c r="Y24" s="3">
        <v>89203</v>
      </c>
    </row>
    <row r="25" spans="1:25" x14ac:dyDescent="0.35">
      <c r="A25">
        <v>23654</v>
      </c>
      <c r="B25" t="s">
        <v>37</v>
      </c>
      <c r="C25">
        <v>0.03</v>
      </c>
      <c r="D25">
        <v>4.24</v>
      </c>
      <c r="E25">
        <v>5.41</v>
      </c>
      <c r="F25">
        <v>33</v>
      </c>
      <c r="G25" t="s">
        <v>108</v>
      </c>
      <c r="H25" t="s">
        <v>49</v>
      </c>
      <c r="I25" t="s">
        <v>28</v>
      </c>
      <c r="J25" t="s">
        <v>29</v>
      </c>
      <c r="K25" t="s">
        <v>109</v>
      </c>
      <c r="L25" t="s">
        <v>59</v>
      </c>
      <c r="M25" t="s">
        <v>110</v>
      </c>
      <c r="N25">
        <v>0.35</v>
      </c>
      <c r="O25" t="s">
        <v>33</v>
      </c>
      <c r="P25" t="s">
        <v>34</v>
      </c>
      <c r="Q25" t="s">
        <v>102</v>
      </c>
      <c r="R25" t="s">
        <v>111</v>
      </c>
      <c r="S25">
        <v>97030</v>
      </c>
      <c r="T25" s="2">
        <v>42170</v>
      </c>
      <c r="U25" s="2">
        <v>42172</v>
      </c>
      <c r="V25">
        <v>-84.437600000000003</v>
      </c>
      <c r="W25">
        <v>13</v>
      </c>
      <c r="X25">
        <v>58.68</v>
      </c>
      <c r="Y25" s="3">
        <v>89201</v>
      </c>
    </row>
    <row r="26" spans="1:25" x14ac:dyDescent="0.35">
      <c r="A26">
        <v>23655</v>
      </c>
      <c r="B26" t="s">
        <v>37</v>
      </c>
      <c r="C26">
        <v>0.04</v>
      </c>
      <c r="D26">
        <v>2.94</v>
      </c>
      <c r="E26">
        <v>0.7</v>
      </c>
      <c r="F26">
        <v>33</v>
      </c>
      <c r="G26" t="s">
        <v>108</v>
      </c>
      <c r="H26" t="s">
        <v>49</v>
      </c>
      <c r="I26" t="s">
        <v>28</v>
      </c>
      <c r="J26" t="s">
        <v>29</v>
      </c>
      <c r="K26" t="s">
        <v>30</v>
      </c>
      <c r="L26" t="s">
        <v>31</v>
      </c>
      <c r="M26" t="s">
        <v>112</v>
      </c>
      <c r="N26">
        <v>0.57999999999999996</v>
      </c>
      <c r="O26" t="s">
        <v>33</v>
      </c>
      <c r="P26" t="s">
        <v>34</v>
      </c>
      <c r="Q26" t="s">
        <v>102</v>
      </c>
      <c r="R26" t="s">
        <v>111</v>
      </c>
      <c r="S26">
        <v>97030</v>
      </c>
      <c r="T26" s="2">
        <v>42170</v>
      </c>
      <c r="U26" s="2">
        <v>42171</v>
      </c>
      <c r="V26">
        <v>24.312000000000001</v>
      </c>
      <c r="W26">
        <v>18</v>
      </c>
      <c r="X26">
        <v>53.1</v>
      </c>
      <c r="Y26" s="3">
        <v>89201</v>
      </c>
    </row>
    <row r="27" spans="1:25" x14ac:dyDescent="0.35">
      <c r="A27">
        <v>25933</v>
      </c>
      <c r="B27" t="s">
        <v>25</v>
      </c>
      <c r="C27">
        <v>0</v>
      </c>
      <c r="D27">
        <v>99.99</v>
      </c>
      <c r="E27">
        <v>19.989999999999998</v>
      </c>
      <c r="F27">
        <v>43</v>
      </c>
      <c r="G27" t="s">
        <v>113</v>
      </c>
      <c r="H27" t="s">
        <v>49</v>
      </c>
      <c r="I27" t="s">
        <v>114</v>
      </c>
      <c r="J27" t="s">
        <v>77</v>
      </c>
      <c r="K27" t="s">
        <v>85</v>
      </c>
      <c r="L27" t="s">
        <v>59</v>
      </c>
      <c r="M27" t="s">
        <v>115</v>
      </c>
      <c r="N27">
        <v>0.52</v>
      </c>
      <c r="O27" t="s">
        <v>33</v>
      </c>
      <c r="P27" t="s">
        <v>34</v>
      </c>
      <c r="Q27" t="s">
        <v>35</v>
      </c>
      <c r="R27" t="s">
        <v>116</v>
      </c>
      <c r="S27">
        <v>98052</v>
      </c>
      <c r="T27" s="2">
        <v>42134</v>
      </c>
      <c r="U27" s="2">
        <v>42135</v>
      </c>
      <c r="V27">
        <v>25.913820000000015</v>
      </c>
      <c r="W27">
        <v>6</v>
      </c>
      <c r="X27">
        <v>647.07000000000005</v>
      </c>
      <c r="Y27" s="3">
        <v>91454</v>
      </c>
    </row>
    <row r="28" spans="1:25" x14ac:dyDescent="0.35">
      <c r="A28">
        <v>18551</v>
      </c>
      <c r="B28" t="s">
        <v>37</v>
      </c>
      <c r="C28">
        <v>0</v>
      </c>
      <c r="D28">
        <v>115.99</v>
      </c>
      <c r="E28">
        <v>2.5</v>
      </c>
      <c r="F28">
        <v>52</v>
      </c>
      <c r="G28" t="s">
        <v>117</v>
      </c>
      <c r="H28" t="s">
        <v>49</v>
      </c>
      <c r="I28" t="s">
        <v>28</v>
      </c>
      <c r="J28" t="s">
        <v>77</v>
      </c>
      <c r="K28" t="s">
        <v>78</v>
      </c>
      <c r="L28" t="s">
        <v>59</v>
      </c>
      <c r="M28" t="s">
        <v>118</v>
      </c>
      <c r="N28">
        <v>0.56999999999999995</v>
      </c>
      <c r="O28" t="s">
        <v>33</v>
      </c>
      <c r="P28" t="s">
        <v>34</v>
      </c>
      <c r="Q28" t="s">
        <v>35</v>
      </c>
      <c r="R28" t="s">
        <v>119</v>
      </c>
      <c r="S28">
        <v>98373</v>
      </c>
      <c r="T28" s="2">
        <v>42073</v>
      </c>
      <c r="U28" s="2">
        <v>42073</v>
      </c>
      <c r="V28">
        <v>162.666</v>
      </c>
      <c r="W28">
        <v>6</v>
      </c>
      <c r="X28">
        <v>627.04</v>
      </c>
      <c r="Y28" s="3">
        <v>88426</v>
      </c>
    </row>
    <row r="29" spans="1:25" x14ac:dyDescent="0.35">
      <c r="A29">
        <v>22117</v>
      </c>
      <c r="B29" t="s">
        <v>47</v>
      </c>
      <c r="C29">
        <v>7.0000000000000007E-2</v>
      </c>
      <c r="D29">
        <v>3502.14</v>
      </c>
      <c r="E29">
        <v>8.73</v>
      </c>
      <c r="F29">
        <v>53</v>
      </c>
      <c r="G29" t="s">
        <v>120</v>
      </c>
      <c r="H29" t="s">
        <v>39</v>
      </c>
      <c r="I29" t="s">
        <v>28</v>
      </c>
      <c r="J29" t="s">
        <v>77</v>
      </c>
      <c r="K29" t="s">
        <v>85</v>
      </c>
      <c r="L29" t="s">
        <v>121</v>
      </c>
      <c r="M29" t="s">
        <v>122</v>
      </c>
      <c r="N29">
        <v>0.56999999999999995</v>
      </c>
      <c r="O29" t="s">
        <v>33</v>
      </c>
      <c r="P29" t="s">
        <v>34</v>
      </c>
      <c r="Q29" t="s">
        <v>35</v>
      </c>
      <c r="R29" t="s">
        <v>116</v>
      </c>
      <c r="S29">
        <v>98052</v>
      </c>
      <c r="T29" s="2">
        <v>42032</v>
      </c>
      <c r="U29" s="2">
        <v>42034</v>
      </c>
      <c r="V29">
        <v>-6923.5991999999997</v>
      </c>
      <c r="W29">
        <v>1</v>
      </c>
      <c r="X29">
        <v>3267.55</v>
      </c>
      <c r="Y29" s="3">
        <v>88425</v>
      </c>
    </row>
    <row r="30" spans="1:25" x14ac:dyDescent="0.35">
      <c r="A30">
        <v>18552</v>
      </c>
      <c r="B30" t="s">
        <v>37</v>
      </c>
      <c r="C30">
        <v>0.02</v>
      </c>
      <c r="D30">
        <v>5.98</v>
      </c>
      <c r="E30">
        <v>5.79</v>
      </c>
      <c r="F30">
        <v>53</v>
      </c>
      <c r="G30" t="s">
        <v>120</v>
      </c>
      <c r="H30" t="s">
        <v>49</v>
      </c>
      <c r="I30" t="s">
        <v>28</v>
      </c>
      <c r="J30" t="s">
        <v>29</v>
      </c>
      <c r="K30" t="s">
        <v>93</v>
      </c>
      <c r="L30" t="s">
        <v>59</v>
      </c>
      <c r="M30" t="s">
        <v>123</v>
      </c>
      <c r="N30">
        <v>0.36</v>
      </c>
      <c r="O30" t="s">
        <v>33</v>
      </c>
      <c r="P30" t="s">
        <v>34</v>
      </c>
      <c r="Q30" t="s">
        <v>35</v>
      </c>
      <c r="R30" t="s">
        <v>116</v>
      </c>
      <c r="S30">
        <v>98052</v>
      </c>
      <c r="T30" s="2">
        <v>42073</v>
      </c>
      <c r="U30" s="2">
        <v>42074</v>
      </c>
      <c r="V30">
        <v>-67.489999999999995</v>
      </c>
      <c r="W30">
        <v>17</v>
      </c>
      <c r="X30">
        <v>110.19</v>
      </c>
      <c r="Y30" s="3">
        <v>88426</v>
      </c>
    </row>
    <row r="31" spans="1:25" x14ac:dyDescent="0.35">
      <c r="A31">
        <v>20697</v>
      </c>
      <c r="B31" t="s">
        <v>56</v>
      </c>
      <c r="C31">
        <v>0.06</v>
      </c>
      <c r="D31">
        <v>3.8</v>
      </c>
      <c r="E31">
        <v>1.49</v>
      </c>
      <c r="F31">
        <v>56</v>
      </c>
      <c r="G31" t="s">
        <v>124</v>
      </c>
      <c r="H31" t="s">
        <v>49</v>
      </c>
      <c r="I31" t="s">
        <v>114</v>
      </c>
      <c r="J31" t="s">
        <v>29</v>
      </c>
      <c r="K31" t="s">
        <v>109</v>
      </c>
      <c r="L31" t="s">
        <v>59</v>
      </c>
      <c r="M31" t="s">
        <v>125</v>
      </c>
      <c r="N31">
        <v>0.38</v>
      </c>
      <c r="O31" t="s">
        <v>33</v>
      </c>
      <c r="P31" t="s">
        <v>53</v>
      </c>
      <c r="Q31" t="s">
        <v>71</v>
      </c>
      <c r="R31" t="s">
        <v>126</v>
      </c>
      <c r="S31">
        <v>14150</v>
      </c>
      <c r="T31" s="2">
        <v>42114</v>
      </c>
      <c r="U31" s="2">
        <v>42115</v>
      </c>
      <c r="V31">
        <v>19.6282</v>
      </c>
      <c r="W31">
        <v>20</v>
      </c>
      <c r="X31">
        <v>73.55</v>
      </c>
      <c r="Y31" s="3">
        <v>88075</v>
      </c>
    </row>
    <row r="36" spans="15:16" x14ac:dyDescent="0.35">
      <c r="O36" t="s">
        <v>127</v>
      </c>
      <c r="P36">
        <f>AVERAGE(V2:V31)</f>
        <v>113.71717066666673</v>
      </c>
    </row>
    <row r="37" spans="15:16" x14ac:dyDescent="0.35">
      <c r="O37" t="s">
        <v>130</v>
      </c>
      <c r="P37">
        <f>MEDIAN(X2:X31)</f>
        <v>221.47</v>
      </c>
    </row>
    <row r="38" spans="15:16" x14ac:dyDescent="0.35">
      <c r="O38" t="s">
        <v>128</v>
      </c>
      <c r="P38">
        <f>MAX(V2:V31)</f>
        <v>4390.3665000000001</v>
      </c>
    </row>
    <row r="39" spans="15:16" x14ac:dyDescent="0.35">
      <c r="O39" t="s">
        <v>129</v>
      </c>
      <c r="P39">
        <f>MIN(V2:V31)</f>
        <v>-6923.5991999999997</v>
      </c>
    </row>
    <row r="40" spans="15:16" x14ac:dyDescent="0.35">
      <c r="O40" t="s">
        <v>131</v>
      </c>
      <c r="P40">
        <f>_xlfn.MODE.SNGL(F:F)</f>
        <v>14</v>
      </c>
    </row>
    <row r="41" spans="15:16" x14ac:dyDescent="0.35">
      <c r="O41" t="s">
        <v>132</v>
      </c>
      <c r="P41">
        <f>STDEVA(X2:X31)</f>
        <v>1402.5566813690591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2026-05-28T15:50:16Z</dcterms:created>
  <dcterms:modified xsi:type="dcterms:W3CDTF">2026-05-28T16:33:08Z</dcterms:modified>
</cp:coreProperties>
</file>