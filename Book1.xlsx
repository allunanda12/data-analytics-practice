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3001C1AB-AA64-4132-9024-A30051AAD75E}" xr6:coauthVersionLast="47" xr6:coauthVersionMax="47" xr10:uidLastSave="{00000000-0000-0000-0000-000000000000}"/>
  <bookViews>
    <workbookView xWindow="-120" yWindow="-120" windowWidth="29040" windowHeight="15720" activeTab="3" xr2:uid="{480A7255-9AAF-4951-9D0C-076C605DA3F7}"/>
  </bookViews>
  <sheets>
    <sheet name="Sheet2" sheetId="2" r:id="rId1"/>
    <sheet name="Sheet3" sheetId="3" r:id="rId2"/>
    <sheet name="Sheet4" sheetId="4" r:id="rId3"/>
    <sheet name="Sheet1" sheetId="1" r:id="rId4"/>
  </sheets>
  <definedNames>
    <definedName name="_xlchart.v1.0" hidden="1">Sheet1!$A$2:$A$20</definedName>
    <definedName name="_xlchart.v1.1" hidden="1">Sheet1!$B$2:$B$20</definedName>
    <definedName name="_xlchart.v1.2" hidden="1">Sheet1!$C$2:$C$20</definedName>
    <definedName name="Slicer_marks">#N/A</definedName>
    <definedName name="Slicer_marks1">#N/A</definedName>
    <definedName name="Slicer_student">#N/A</definedName>
    <definedName name="Slicer_student1">#N/A</definedName>
    <definedName name="Slicer_study_hrs">#N/A</definedName>
    <definedName name="Slicer_study_hrs1">#N/A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1" l="1"/>
  <c r="F22" i="1"/>
  <c r="F20" i="1"/>
  <c r="F17" i="1"/>
  <c r="F6" i="1"/>
  <c r="F9" i="1" a="1"/>
  <c r="F9" i="1" s="1"/>
  <c r="F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<sst xmlns="http://schemas.openxmlformats.org/spreadsheetml/2006/main" count="89" uniqueCount="62">
  <si>
    <t>student</t>
  </si>
  <si>
    <t>marks</t>
  </si>
  <si>
    <t>study hrs</t>
  </si>
  <si>
    <t>A</t>
  </si>
  <si>
    <t>D</t>
  </si>
  <si>
    <t>F</t>
  </si>
  <si>
    <t>G</t>
  </si>
  <si>
    <t>H</t>
  </si>
  <si>
    <t>J</t>
  </si>
  <si>
    <t>E</t>
  </si>
  <si>
    <t>K</t>
  </si>
  <si>
    <t>L</t>
  </si>
  <si>
    <t>M</t>
  </si>
  <si>
    <t>N</t>
  </si>
  <si>
    <t>V</t>
  </si>
  <si>
    <t>C</t>
  </si>
  <si>
    <t>X</t>
  </si>
  <si>
    <t>Z</t>
  </si>
  <si>
    <t>Q</t>
  </si>
  <si>
    <t>W</t>
  </si>
  <si>
    <t>B</t>
  </si>
  <si>
    <t>Y</t>
  </si>
  <si>
    <t>Sum of marks</t>
  </si>
  <si>
    <t>Sum of study hrs</t>
  </si>
  <si>
    <t>Row Labels</t>
  </si>
  <si>
    <t>Grand Total</t>
  </si>
  <si>
    <t>Mean</t>
  </si>
  <si>
    <t>Standard Error</t>
  </si>
  <si>
    <t>Median</t>
  </si>
  <si>
    <t>Mode</t>
  </si>
  <si>
    <t>Standard Deviation</t>
  </si>
  <si>
    <t>Sample Variance</t>
  </si>
  <si>
    <t>Kurtosis</t>
  </si>
  <si>
    <t>Skewness</t>
  </si>
  <si>
    <t>Range</t>
  </si>
  <si>
    <t>Minimum</t>
  </si>
  <si>
    <t>Maximum</t>
  </si>
  <si>
    <t>Sum</t>
  </si>
  <si>
    <t>Count</t>
  </si>
  <si>
    <t>SUMMARY OUTPUT</t>
  </si>
  <si>
    <t>Regression Statistics</t>
  </si>
  <si>
    <t>Multiple R</t>
  </si>
  <si>
    <t>R Square</t>
  </si>
  <si>
    <t>Adjusted R Square</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</si>
  <si>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</si>
  <si>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</si>
  <si>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</si>
  <si>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</si>
  <si>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</si>
  <si>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</si>
  <si>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</si>
  <si>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</si>
  <si>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</si>
  <si>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</si>
  <si>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</si>
  <si>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</si>
  <si>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</si>
  <si>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</si>
  <si>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</si>
  <si>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</si>
  <si>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</si>
  <si>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X Variable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</si>
</sst>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1" fillId="0" borderId="2" xfId="0" applyFont="1" applyFill="1" applyBorder="1" applyAlignment="1">
      <alignment horizontal="centerContinuous"/>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E</c:v>
                </c:pt>
                <c:pt idx="1">
                  <c:v>W</c:v>
                </c:pt>
              </c:strCache>
            </c:strRef>
          </c:cat>
          <c:val>
            <c:numRef>
              <c:f>Sheet2!$B$4:$B$6</c:f>
              <c:numCache>
                <c:formatCode>General</c:formatCode>
                <c:ptCount val="2"/>
                <c:pt idx="0">
                  <c:v>92</c:v>
                </c:pt>
                <c:pt idx="1">
                  <c:v>92</c:v>
                </c:pt>
              </c:numCache>
            </c:numRef>
          </c:val>
          <c:extLst>
            <c:ext xmlns:c16="http://schemas.microsoft.com/office/drawing/2014/chart" uri="{C3380CC4-5D6E-409C-BE32-E72D297353CC}">
              <c16:uniqueId val="{00000000-D02F-47A9-AEBA-1DF25BBE7CE7}"/>
            </c:ext>
          </c:extLst>
        </c:ser>
        <c:dLbls>
          <c:showLegendKey val="0"/>
          <c:showVal val="0"/>
          <c:showCatName val="0"/>
          <c:showSerName val="0"/>
          <c:showPercent val="0"/>
          <c:showBubbleSize val="0"/>
        </c:dLbls>
        <c:gapWidth val="219"/>
        <c:overlap val="-27"/>
        <c:axId val="191074191"/>
        <c:axId val="337817183"/>
      </c:barChart>
      <c:catAx>
        <c:axId val="19107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817183"/>
        <c:crosses val="autoZero"/>
        <c:auto val="1"/>
        <c:lblAlgn val="ctr"/>
        <c:lblOffset val="100"/>
        <c:noMultiLvlLbl val="0"/>
      </c:catAx>
      <c:valAx>
        <c:axId val="33781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explosion val="2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Sheet2!$A$4:$A$6</c:f>
              <c:strCache>
                <c:ptCount val="2"/>
                <c:pt idx="0">
                  <c:v>E</c:v>
                </c:pt>
                <c:pt idx="1">
                  <c:v>W</c:v>
                </c:pt>
              </c:strCache>
            </c:strRef>
          </c:cat>
          <c:val>
            <c:numRef>
              <c:f>Sheet2!$B$4:$B$6</c:f>
              <c:numCache>
                <c:formatCode>General</c:formatCode>
                <c:ptCount val="2"/>
                <c:pt idx="0">
                  <c:v>92</c:v>
                </c:pt>
                <c:pt idx="1">
                  <c:v>92</c:v>
                </c:pt>
              </c:numCache>
            </c:numRef>
          </c:val>
          <c:extLst>
            <c:ext xmlns:c16="http://schemas.microsoft.com/office/drawing/2014/chart" uri="{C3380CC4-5D6E-409C-BE32-E72D297353CC}">
              <c16:uniqueId val="{00000000-D6D4-4FC4-BF49-6F7DB34CBF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marks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60279965004374"/>
          <c:y val="0.1902314814814815"/>
          <c:w val="0.83129396325459315"/>
          <c:h val="0.62271617089530473"/>
        </c:manualLayout>
      </c:layout>
      <c:barChart>
        <c:barDir val="col"/>
        <c:grouping val="clustered"/>
        <c:varyColors val="0"/>
        <c:ser>
          <c:idx val="0"/>
          <c:order val="0"/>
          <c:spPr>
            <a:solidFill>
              <a:schemeClr val="accent1"/>
            </a:solidFill>
            <a:ln>
              <a:noFill/>
            </a:ln>
            <a:effectLst/>
          </c:spPr>
          <c:invertIfNegative val="0"/>
          <c:cat>
            <c:strRef>
              <c:f>Sheet1!$A$2:$A$20</c:f>
              <c:strCache>
                <c:ptCount val="19"/>
                <c:pt idx="0">
                  <c:v>A</c:v>
                </c:pt>
                <c:pt idx="1">
                  <c:v>B</c:v>
                </c:pt>
                <c:pt idx="2">
                  <c:v>D</c:v>
                </c:pt>
                <c:pt idx="3">
                  <c:v>E</c:v>
                </c:pt>
                <c:pt idx="4">
                  <c:v>F</c:v>
                </c:pt>
                <c:pt idx="5">
                  <c:v>G</c:v>
                </c:pt>
                <c:pt idx="6">
                  <c:v>H</c:v>
                </c:pt>
                <c:pt idx="7">
                  <c:v>J</c:v>
                </c:pt>
                <c:pt idx="8">
                  <c:v>K</c:v>
                </c:pt>
                <c:pt idx="9">
                  <c:v>L</c:v>
                </c:pt>
                <c:pt idx="10">
                  <c:v>M</c:v>
                </c:pt>
                <c:pt idx="11">
                  <c:v>N</c:v>
                </c:pt>
                <c:pt idx="12">
                  <c:v>V</c:v>
                </c:pt>
                <c:pt idx="13">
                  <c:v>C</c:v>
                </c:pt>
                <c:pt idx="14">
                  <c:v>X</c:v>
                </c:pt>
                <c:pt idx="15">
                  <c:v>Z</c:v>
                </c:pt>
                <c:pt idx="16">
                  <c:v>Q</c:v>
                </c:pt>
                <c:pt idx="17">
                  <c:v>W</c:v>
                </c:pt>
                <c:pt idx="18">
                  <c:v>Y</c:v>
                </c:pt>
              </c:strCache>
            </c:strRef>
          </c:cat>
          <c:val>
            <c:numRef>
              <c:f>Sheet1!$B$2:$B$20</c:f>
              <c:numCache>
                <c:formatCode>General</c:formatCode>
                <c:ptCount val="19"/>
                <c:pt idx="0">
                  <c:v>78</c:v>
                </c:pt>
                <c:pt idx="1">
                  <c:v>67</c:v>
                </c:pt>
                <c:pt idx="2">
                  <c:v>91</c:v>
                </c:pt>
                <c:pt idx="3">
                  <c:v>92</c:v>
                </c:pt>
                <c:pt idx="4">
                  <c:v>93</c:v>
                </c:pt>
                <c:pt idx="5">
                  <c:v>84</c:v>
                </c:pt>
                <c:pt idx="6">
                  <c:v>71</c:v>
                </c:pt>
                <c:pt idx="7">
                  <c:v>90</c:v>
                </c:pt>
                <c:pt idx="8">
                  <c:v>62</c:v>
                </c:pt>
                <c:pt idx="9">
                  <c:v>58</c:v>
                </c:pt>
                <c:pt idx="10">
                  <c:v>56</c:v>
                </c:pt>
                <c:pt idx="11">
                  <c:v>90</c:v>
                </c:pt>
                <c:pt idx="12">
                  <c:v>67</c:v>
                </c:pt>
                <c:pt idx="13">
                  <c:v>78</c:v>
                </c:pt>
                <c:pt idx="14">
                  <c:v>45</c:v>
                </c:pt>
                <c:pt idx="15">
                  <c:v>78</c:v>
                </c:pt>
                <c:pt idx="16">
                  <c:v>89</c:v>
                </c:pt>
                <c:pt idx="17">
                  <c:v>92</c:v>
                </c:pt>
                <c:pt idx="18">
                  <c:v>93</c:v>
                </c:pt>
              </c:numCache>
            </c:numRef>
          </c:val>
          <c:extLst>
            <c:ext xmlns:c16="http://schemas.microsoft.com/office/drawing/2014/chart" uri="{C3380CC4-5D6E-409C-BE32-E72D297353CC}">
              <c16:uniqueId val="{00000000-B320-4226-B19D-28477F1FC53A}"/>
            </c:ext>
          </c:extLst>
        </c:ser>
        <c:dLbls>
          <c:showLegendKey val="0"/>
          <c:showVal val="0"/>
          <c:showCatName val="0"/>
          <c:showSerName val="0"/>
          <c:showPercent val="0"/>
          <c:showBubbleSize val="0"/>
        </c:dLbls>
        <c:gapWidth val="219"/>
        <c:overlap val="-27"/>
        <c:axId val="191408095"/>
        <c:axId val="369179871"/>
      </c:barChart>
      <c:catAx>
        <c:axId val="19140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79871"/>
        <c:crosses val="autoZero"/>
        <c:auto val="1"/>
        <c:lblAlgn val="ctr"/>
        <c:lblOffset val="100"/>
        <c:noMultiLvlLbl val="0"/>
      </c:catAx>
      <c:valAx>
        <c:axId val="369179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0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Sheet1!$B$1</c:f>
              <c:strCache>
                <c:ptCount val="1"/>
                <c:pt idx="0">
                  <c:v>marks</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cat>
            <c:strRef>
              <c:f>Sheet1!$A$2:$A$20</c:f>
              <c:strCache>
                <c:ptCount val="19"/>
                <c:pt idx="0">
                  <c:v>A</c:v>
                </c:pt>
                <c:pt idx="1">
                  <c:v>B</c:v>
                </c:pt>
                <c:pt idx="2">
                  <c:v>D</c:v>
                </c:pt>
                <c:pt idx="3">
                  <c:v>E</c:v>
                </c:pt>
                <c:pt idx="4">
                  <c:v>F</c:v>
                </c:pt>
                <c:pt idx="5">
                  <c:v>G</c:v>
                </c:pt>
                <c:pt idx="6">
                  <c:v>H</c:v>
                </c:pt>
                <c:pt idx="7">
                  <c:v>J</c:v>
                </c:pt>
                <c:pt idx="8">
                  <c:v>K</c:v>
                </c:pt>
                <c:pt idx="9">
                  <c:v>L</c:v>
                </c:pt>
                <c:pt idx="10">
                  <c:v>M</c:v>
                </c:pt>
                <c:pt idx="11">
                  <c:v>N</c:v>
                </c:pt>
                <c:pt idx="12">
                  <c:v>V</c:v>
                </c:pt>
                <c:pt idx="13">
                  <c:v>C</c:v>
                </c:pt>
                <c:pt idx="14">
                  <c:v>X</c:v>
                </c:pt>
                <c:pt idx="15">
                  <c:v>Z</c:v>
                </c:pt>
                <c:pt idx="16">
                  <c:v>Q</c:v>
                </c:pt>
                <c:pt idx="17">
                  <c:v>W</c:v>
                </c:pt>
                <c:pt idx="18">
                  <c:v>Y</c:v>
                </c:pt>
              </c:strCache>
            </c:strRef>
          </c:cat>
          <c:val>
            <c:numRef>
              <c:f>Sheet1!$B$2:$B$20</c:f>
              <c:numCache>
                <c:formatCode>General</c:formatCode>
                <c:ptCount val="19"/>
                <c:pt idx="0">
                  <c:v>78</c:v>
                </c:pt>
                <c:pt idx="1">
                  <c:v>67</c:v>
                </c:pt>
                <c:pt idx="2">
                  <c:v>91</c:v>
                </c:pt>
                <c:pt idx="3">
                  <c:v>92</c:v>
                </c:pt>
                <c:pt idx="4">
                  <c:v>93</c:v>
                </c:pt>
                <c:pt idx="5">
                  <c:v>84</c:v>
                </c:pt>
                <c:pt idx="6">
                  <c:v>71</c:v>
                </c:pt>
                <c:pt idx="7">
                  <c:v>90</c:v>
                </c:pt>
                <c:pt idx="8">
                  <c:v>62</c:v>
                </c:pt>
                <c:pt idx="9">
                  <c:v>58</c:v>
                </c:pt>
                <c:pt idx="10">
                  <c:v>56</c:v>
                </c:pt>
                <c:pt idx="11">
                  <c:v>90</c:v>
                </c:pt>
                <c:pt idx="12">
                  <c:v>67</c:v>
                </c:pt>
                <c:pt idx="13">
                  <c:v>78</c:v>
                </c:pt>
                <c:pt idx="14">
                  <c:v>45</c:v>
                </c:pt>
                <c:pt idx="15">
                  <c:v>78</c:v>
                </c:pt>
                <c:pt idx="16">
                  <c:v>89</c:v>
                </c:pt>
                <c:pt idx="17">
                  <c:v>92</c:v>
                </c:pt>
                <c:pt idx="18">
                  <c:v>93</c:v>
                </c:pt>
              </c:numCache>
            </c:numRef>
          </c:val>
          <c:extLst>
            <c:ext xmlns:c16="http://schemas.microsoft.com/office/drawing/2014/chart" uri="{C3380CC4-5D6E-409C-BE32-E72D297353CC}">
              <c16:uniqueId val="{00000000-2035-4F7E-B5F4-59F6A86C5E3F}"/>
            </c:ext>
          </c:extLst>
        </c:ser>
        <c:ser>
          <c:idx val="1"/>
          <c:order val="1"/>
          <c:tx>
            <c:strRef>
              <c:f>Sheet1!$C$1</c:f>
              <c:strCache>
                <c:ptCount val="1"/>
                <c:pt idx="0">
                  <c:v>study hrs</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cat>
            <c:strRef>
              <c:f>Sheet1!$A$2:$A$20</c:f>
              <c:strCache>
                <c:ptCount val="19"/>
                <c:pt idx="0">
                  <c:v>A</c:v>
                </c:pt>
                <c:pt idx="1">
                  <c:v>B</c:v>
                </c:pt>
                <c:pt idx="2">
                  <c:v>D</c:v>
                </c:pt>
                <c:pt idx="3">
                  <c:v>E</c:v>
                </c:pt>
                <c:pt idx="4">
                  <c:v>F</c:v>
                </c:pt>
                <c:pt idx="5">
                  <c:v>G</c:v>
                </c:pt>
                <c:pt idx="6">
                  <c:v>H</c:v>
                </c:pt>
                <c:pt idx="7">
                  <c:v>J</c:v>
                </c:pt>
                <c:pt idx="8">
                  <c:v>K</c:v>
                </c:pt>
                <c:pt idx="9">
                  <c:v>L</c:v>
                </c:pt>
                <c:pt idx="10">
                  <c:v>M</c:v>
                </c:pt>
                <c:pt idx="11">
                  <c:v>N</c:v>
                </c:pt>
                <c:pt idx="12">
                  <c:v>V</c:v>
                </c:pt>
                <c:pt idx="13">
                  <c:v>C</c:v>
                </c:pt>
                <c:pt idx="14">
                  <c:v>X</c:v>
                </c:pt>
                <c:pt idx="15">
                  <c:v>Z</c:v>
                </c:pt>
                <c:pt idx="16">
                  <c:v>Q</c:v>
                </c:pt>
                <c:pt idx="17">
                  <c:v>W</c:v>
                </c:pt>
                <c:pt idx="18">
                  <c:v>Y</c:v>
                </c:pt>
              </c:strCache>
            </c:strRef>
          </c:cat>
          <c:val>
            <c:numRef>
              <c:f>Sheet1!$C$2:$C$20</c:f>
              <c:numCache>
                <c:formatCode>General</c:formatCode>
                <c:ptCount val="19"/>
                <c:pt idx="0">
                  <c:v>2</c:v>
                </c:pt>
                <c:pt idx="1">
                  <c:v>4</c:v>
                </c:pt>
                <c:pt idx="2">
                  <c:v>5</c:v>
                </c:pt>
                <c:pt idx="3">
                  <c:v>6</c:v>
                </c:pt>
                <c:pt idx="4">
                  <c:v>3</c:v>
                </c:pt>
                <c:pt idx="5">
                  <c:v>2</c:v>
                </c:pt>
                <c:pt idx="6">
                  <c:v>1</c:v>
                </c:pt>
                <c:pt idx="7">
                  <c:v>5</c:v>
                </c:pt>
                <c:pt idx="8">
                  <c:v>2</c:v>
                </c:pt>
                <c:pt idx="9">
                  <c:v>3</c:v>
                </c:pt>
                <c:pt idx="10">
                  <c:v>3</c:v>
                </c:pt>
                <c:pt idx="11">
                  <c:v>5</c:v>
                </c:pt>
                <c:pt idx="12">
                  <c:v>2</c:v>
                </c:pt>
                <c:pt idx="13">
                  <c:v>1</c:v>
                </c:pt>
                <c:pt idx="14">
                  <c:v>4</c:v>
                </c:pt>
                <c:pt idx="15">
                  <c:v>3</c:v>
                </c:pt>
                <c:pt idx="16">
                  <c:v>1</c:v>
                </c:pt>
                <c:pt idx="17">
                  <c:v>5</c:v>
                </c:pt>
                <c:pt idx="18">
                  <c:v>6</c:v>
                </c:pt>
              </c:numCache>
            </c:numRef>
          </c:val>
          <c:extLst>
            <c:ext xmlns:c16="http://schemas.microsoft.com/office/drawing/2014/chart" uri="{C3380CC4-5D6E-409C-BE32-E72D297353CC}">
              <c16:uniqueId val="{00000001-2035-4F7E-B5F4-59F6A86C5E3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784776902887145E-2"/>
          <c:y val="0.19428295421405659"/>
          <c:w val="0.89019685039370078"/>
          <c:h val="0.61498432487605714"/>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Sheet1!$B$2:$B$20</c:f>
              <c:numCache>
                <c:formatCode>General</c:formatCode>
                <c:ptCount val="19"/>
                <c:pt idx="0">
                  <c:v>78</c:v>
                </c:pt>
                <c:pt idx="1">
                  <c:v>67</c:v>
                </c:pt>
                <c:pt idx="2">
                  <c:v>91</c:v>
                </c:pt>
                <c:pt idx="3">
                  <c:v>92</c:v>
                </c:pt>
                <c:pt idx="4">
                  <c:v>93</c:v>
                </c:pt>
                <c:pt idx="5">
                  <c:v>84</c:v>
                </c:pt>
                <c:pt idx="6">
                  <c:v>71</c:v>
                </c:pt>
                <c:pt idx="7">
                  <c:v>90</c:v>
                </c:pt>
                <c:pt idx="8">
                  <c:v>62</c:v>
                </c:pt>
                <c:pt idx="9">
                  <c:v>58</c:v>
                </c:pt>
                <c:pt idx="10">
                  <c:v>56</c:v>
                </c:pt>
                <c:pt idx="11">
                  <c:v>90</c:v>
                </c:pt>
                <c:pt idx="12">
                  <c:v>67</c:v>
                </c:pt>
                <c:pt idx="13">
                  <c:v>78</c:v>
                </c:pt>
                <c:pt idx="14">
                  <c:v>45</c:v>
                </c:pt>
                <c:pt idx="15">
                  <c:v>78</c:v>
                </c:pt>
                <c:pt idx="16">
                  <c:v>89</c:v>
                </c:pt>
                <c:pt idx="17">
                  <c:v>92</c:v>
                </c:pt>
                <c:pt idx="18">
                  <c:v>93</c:v>
                </c:pt>
              </c:numCache>
            </c:numRef>
          </c:val>
          <c:smooth val="0"/>
          <c:extLst>
            <c:ext xmlns:c16="http://schemas.microsoft.com/office/drawing/2014/chart" uri="{C3380CC4-5D6E-409C-BE32-E72D297353CC}">
              <c16:uniqueId val="{00000000-877C-495D-B89D-9D38438CAD4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Sheet1!$C$2:$C$20</c:f>
              <c:numCache>
                <c:formatCode>General</c:formatCode>
                <c:ptCount val="19"/>
                <c:pt idx="0">
                  <c:v>2</c:v>
                </c:pt>
                <c:pt idx="1">
                  <c:v>4</c:v>
                </c:pt>
                <c:pt idx="2">
                  <c:v>5</c:v>
                </c:pt>
                <c:pt idx="3">
                  <c:v>6</c:v>
                </c:pt>
                <c:pt idx="4">
                  <c:v>3</c:v>
                </c:pt>
                <c:pt idx="5">
                  <c:v>2</c:v>
                </c:pt>
                <c:pt idx="6">
                  <c:v>1</c:v>
                </c:pt>
                <c:pt idx="7">
                  <c:v>5</c:v>
                </c:pt>
                <c:pt idx="8">
                  <c:v>2</c:v>
                </c:pt>
                <c:pt idx="9">
                  <c:v>3</c:v>
                </c:pt>
                <c:pt idx="10">
                  <c:v>3</c:v>
                </c:pt>
                <c:pt idx="11">
                  <c:v>5</c:v>
                </c:pt>
                <c:pt idx="12">
                  <c:v>2</c:v>
                </c:pt>
                <c:pt idx="13">
                  <c:v>1</c:v>
                </c:pt>
                <c:pt idx="14">
                  <c:v>4</c:v>
                </c:pt>
                <c:pt idx="15">
                  <c:v>3</c:v>
                </c:pt>
                <c:pt idx="16">
                  <c:v>1</c:v>
                </c:pt>
                <c:pt idx="17">
                  <c:v>5</c:v>
                </c:pt>
                <c:pt idx="18">
                  <c:v>6</c:v>
                </c:pt>
              </c:numCache>
            </c:numRef>
          </c:val>
          <c:smooth val="0"/>
          <c:extLst>
            <c:ext xmlns:c16="http://schemas.microsoft.com/office/drawing/2014/chart" uri="{C3380CC4-5D6E-409C-BE32-E72D297353CC}">
              <c16:uniqueId val="{00000001-877C-495D-B89D-9D38438CAD41}"/>
            </c:ext>
          </c:extLst>
        </c:ser>
        <c:dLbls>
          <c:showLegendKey val="0"/>
          <c:showVal val="0"/>
          <c:showCatName val="0"/>
          <c:showSerName val="0"/>
          <c:showPercent val="0"/>
          <c:showBubbleSize val="0"/>
        </c:dLbls>
        <c:marker val="1"/>
        <c:smooth val="0"/>
        <c:axId val="345202079"/>
        <c:axId val="345202559"/>
      </c:lineChart>
      <c:catAx>
        <c:axId val="3452020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202559"/>
        <c:crosses val="autoZero"/>
        <c:auto val="1"/>
        <c:lblAlgn val="ctr"/>
        <c:lblOffset val="100"/>
        <c:noMultiLvlLbl val="0"/>
      </c:catAx>
      <c:valAx>
        <c:axId val="34520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20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457199</xdr:colOff>
      <xdr:row>11</xdr:row>
      <xdr:rowOff>52387</xdr:rowOff>
    </xdr:from>
    <xdr:to>
      <xdr:col>16</xdr:col>
      <xdr:colOff>123825</xdr:colOff>
      <xdr:row>25</xdr:row>
      <xdr:rowOff>128587</xdr:rowOff>
    </xdr:to>
    <xdr:graphicFrame macro="">
      <xdr:nvGraphicFramePr>
        <xdr:cNvPr id="2" name="Chart 1">
          <a:extLst>
            <a:ext uri="{FF2B5EF4-FFF2-40B4-BE49-F238E27FC236}">
              <a16:creationId xmlns:a16="http://schemas.microsoft.com/office/drawing/2014/main" id="{7E83085C-8728-16F3-1988-C236E0F04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600075</xdr:colOff>
      <xdr:row>10</xdr:row>
      <xdr:rowOff>142875</xdr:rowOff>
    </xdr:from>
    <xdr:to>
      <xdr:col>26</xdr:col>
      <xdr:colOff>600075</xdr:colOff>
      <xdr:row>24</xdr:row>
      <xdr:rowOff>0</xdr:rowOff>
    </xdr:to>
    <mc:AlternateContent xmlns:mc="http://schemas.openxmlformats.org/markup-compatibility/2006">
      <mc:Choice xmlns:a14="http://schemas.microsoft.com/office/drawing/2010/main" Requires="a14">
        <xdr:graphicFrame macro="">
          <xdr:nvGraphicFramePr>
            <xdr:cNvPr id="3" name="student">
              <a:extLst>
                <a:ext uri="{FF2B5EF4-FFF2-40B4-BE49-F238E27FC236}">
                  <a16:creationId xmlns:a16="http://schemas.microsoft.com/office/drawing/2014/main" id="{2A313944-4224-03AF-00AD-FA8DA5455B12}"/>
                </a:ext>
              </a:extLst>
            </xdr:cNvPr>
            <xdr:cNvGraphicFramePr/>
          </xdr:nvGraphicFramePr>
          <xdr:xfrm>
            <a:off x="0" y="0"/>
            <a:ext cx="0" cy="0"/>
          </xdr:xfrm>
          <a:graphic>
            <a:graphicData uri="http://schemas.microsoft.com/office/drawing/2010/slicer">
              <sle:slicer xmlns:sle="http://schemas.microsoft.com/office/drawing/2010/slicer" name="student"/>
            </a:graphicData>
          </a:graphic>
        </xdr:graphicFrame>
      </mc:Choice>
      <mc:Fallback>
        <xdr:sp macro="" textlink="">
          <xdr:nvSpPr>
            <xdr:cNvPr id="0" name=""/>
            <xdr:cNvSpPr>
              <a:spLocks noTextEdit="1"/>
            </xdr:cNvSpPr>
          </xdr:nvSpPr>
          <xdr:spPr>
            <a:xfrm>
              <a:off x="15135225" y="2047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390525</xdr:colOff>
      <xdr:row>11</xdr:row>
      <xdr:rowOff>19050</xdr:rowOff>
    </xdr:from>
    <xdr:to>
      <xdr:col>23</xdr:col>
      <xdr:colOff>390525</xdr:colOff>
      <xdr:row>24</xdr:row>
      <xdr:rowOff>66675</xdr:rowOff>
    </xdr:to>
    <mc:AlternateContent xmlns:mc="http://schemas.openxmlformats.org/markup-compatibility/2006">
      <mc:Choice xmlns:a14="http://schemas.microsoft.com/office/drawing/2010/main" Requires="a14">
        <xdr:graphicFrame macro="">
          <xdr:nvGraphicFramePr>
            <xdr:cNvPr id="4" name="marks">
              <a:extLst>
                <a:ext uri="{FF2B5EF4-FFF2-40B4-BE49-F238E27FC236}">
                  <a16:creationId xmlns:a16="http://schemas.microsoft.com/office/drawing/2014/main" id="{E85C42D8-F219-6F40-C3A2-57849E8D4F3A}"/>
                </a:ext>
              </a:extLst>
            </xdr:cNvPr>
            <xdr:cNvGraphicFramePr/>
          </xdr:nvGraphicFramePr>
          <xdr:xfrm>
            <a:off x="0" y="0"/>
            <a:ext cx="0" cy="0"/>
          </xdr:xfrm>
          <a:graphic>
            <a:graphicData uri="http://schemas.microsoft.com/office/drawing/2010/slicer">
              <sle:slicer xmlns:sle="http://schemas.microsoft.com/office/drawing/2010/slicer" name="marks"/>
            </a:graphicData>
          </a:graphic>
        </xdr:graphicFrame>
      </mc:Choice>
      <mc:Fallback>
        <xdr:sp macro="" textlink="">
          <xdr:nvSpPr>
            <xdr:cNvPr id="0" name=""/>
            <xdr:cNvSpPr>
              <a:spLocks noTextEdit="1"/>
            </xdr:cNvSpPr>
          </xdr:nvSpPr>
          <xdr:spPr>
            <a:xfrm>
              <a:off x="13096875" y="211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123825</xdr:colOff>
      <xdr:row>11</xdr:row>
      <xdr:rowOff>9525</xdr:rowOff>
    </xdr:from>
    <xdr:to>
      <xdr:col>20</xdr:col>
      <xdr:colOff>123825</xdr:colOff>
      <xdr:row>24</xdr:row>
      <xdr:rowOff>57150</xdr:rowOff>
    </xdr:to>
    <mc:AlternateContent xmlns:mc="http://schemas.openxmlformats.org/markup-compatibility/2006">
      <mc:Choice xmlns:a14="http://schemas.microsoft.com/office/drawing/2010/main" Requires="a14">
        <xdr:graphicFrame macro="">
          <xdr:nvGraphicFramePr>
            <xdr:cNvPr id="5" name="study hrs">
              <a:extLst>
                <a:ext uri="{FF2B5EF4-FFF2-40B4-BE49-F238E27FC236}">
                  <a16:creationId xmlns:a16="http://schemas.microsoft.com/office/drawing/2014/main" id="{48FA8BE7-B128-3B2E-AF5A-A80DD29D0244}"/>
                </a:ext>
              </a:extLst>
            </xdr:cNvPr>
            <xdr:cNvGraphicFramePr/>
          </xdr:nvGraphicFramePr>
          <xdr:xfrm>
            <a:off x="0" y="0"/>
            <a:ext cx="0" cy="0"/>
          </xdr:xfrm>
          <a:graphic>
            <a:graphicData uri="http://schemas.microsoft.com/office/drawing/2010/slicer">
              <sle:slicer xmlns:sle="http://schemas.microsoft.com/office/drawing/2010/slicer" name="study hrs"/>
            </a:graphicData>
          </a:graphic>
        </xdr:graphicFrame>
      </mc:Choice>
      <mc:Fallback>
        <xdr:sp macro="" textlink="">
          <xdr:nvSpPr>
            <xdr:cNvPr id="0" name=""/>
            <xdr:cNvSpPr>
              <a:spLocks noTextEdit="1"/>
            </xdr:cNvSpPr>
          </xdr:nvSpPr>
          <xdr:spPr>
            <a:xfrm>
              <a:off x="11001375" y="2105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12</xdr:row>
      <xdr:rowOff>176212</xdr:rowOff>
    </xdr:from>
    <xdr:to>
      <xdr:col>8</xdr:col>
      <xdr:colOff>438150</xdr:colOff>
      <xdr:row>24</xdr:row>
      <xdr:rowOff>85725</xdr:rowOff>
    </xdr:to>
    <xdr:graphicFrame macro="">
      <xdr:nvGraphicFramePr>
        <xdr:cNvPr id="6" name="Chart 5">
          <a:extLst>
            <a:ext uri="{FF2B5EF4-FFF2-40B4-BE49-F238E27FC236}">
              <a16:creationId xmlns:a16="http://schemas.microsoft.com/office/drawing/2014/main" id="{FDACD9CB-F10F-327E-D233-00F9A6162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257175</xdr:colOff>
      <xdr:row>1</xdr:row>
      <xdr:rowOff>4762</xdr:rowOff>
    </xdr:from>
    <xdr:to>
      <xdr:col>15</xdr:col>
      <xdr:colOff>561975</xdr:colOff>
      <xdr:row>15</xdr:row>
      <xdr:rowOff>80962</xdr:rowOff>
    </xdr:to>
    <xdr:graphicFrame macro="">
      <xdr:nvGraphicFramePr>
        <xdr:cNvPr id="4" name="Chart 3">
          <a:extLst>
            <a:ext uri="{FF2B5EF4-FFF2-40B4-BE49-F238E27FC236}">
              <a16:creationId xmlns:a16="http://schemas.microsoft.com/office/drawing/2014/main" id="{312556D8-6AD1-5FE1-448F-897D87491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57150</xdr:colOff>
      <xdr:row>8</xdr:row>
      <xdr:rowOff>33337</xdr:rowOff>
    </xdr:from>
    <xdr:to>
      <xdr:col>23</xdr:col>
      <xdr:colOff>361950</xdr:colOff>
      <xdr:row>22</xdr:row>
      <xdr:rowOff>109537</xdr:rowOff>
    </xdr:to>
    <xdr:graphicFrame macro="">
      <xdr:nvGraphicFramePr>
        <xdr:cNvPr id="5" name="Chart 4">
          <a:extLst>
            <a:ext uri="{FF2B5EF4-FFF2-40B4-BE49-F238E27FC236}">
              <a16:creationId xmlns:a16="http://schemas.microsoft.com/office/drawing/2014/main" id="{32412413-F097-1522-F3D7-98CC40855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400050</xdr:colOff>
      <xdr:row>17</xdr:row>
      <xdr:rowOff>109537</xdr:rowOff>
    </xdr:from>
    <xdr:to>
      <xdr:col>16</xdr:col>
      <xdr:colOff>95250</xdr:colOff>
      <xdr:row>31</xdr:row>
      <xdr:rowOff>185737</xdr:rowOff>
    </xdr:to>
    <xdr:graphicFrame macro="">
      <xdr:nvGraphicFramePr>
        <xdr:cNvPr id="7" name="Chart 6">
          <a:extLst>
            <a:ext uri="{FF2B5EF4-FFF2-40B4-BE49-F238E27FC236}">
              <a16:creationId xmlns:a16="http://schemas.microsoft.com/office/drawing/2014/main" id="{03DDA8AB-2531-26B2-D627-D13746235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19</xdr:col>
      <xdr:colOff>333375</xdr:colOff>
      <xdr:row>0</xdr:row>
      <xdr:rowOff>104775</xdr:rowOff>
    </xdr:from>
    <xdr:to>
      <xdr:col>22</xdr:col>
      <xdr:colOff>333375</xdr:colOff>
      <xdr:row>13</xdr:row>
      <xdr:rowOff>152400</xdr:rowOff>
    </xdr:to>
    <mc:AlternateContent xmlns:mc="http://schemas.openxmlformats.org/markup-compatibility/2006">
      <mc:Choice xmlns:sle15="http://schemas.microsoft.com/office/drawing/2012/slicer" Requires="sle15">
        <xdr:graphicFrame macro="">
          <xdr:nvGraphicFramePr>
            <xdr:cNvPr id="8" name="student 1">
              <a:extLst>
                <a:ext uri="{FF2B5EF4-FFF2-40B4-BE49-F238E27FC236}">
                  <a16:creationId xmlns:a16="http://schemas.microsoft.com/office/drawing/2014/main" id="{51BE5C55-18AF-B7AE-9456-60D218E30147}"/>
                </a:ext>
              </a:extLst>
            </xdr:cNvPr>
            <xdr:cNvGraphicFramePr/>
          </xdr:nvGraphicFramePr>
          <xdr:xfrm>
            <a:off x="0" y="0"/>
            <a:ext cx="0" cy="0"/>
          </xdr:xfrm>
          <a:graphic>
            <a:graphicData uri="http://schemas.microsoft.com/office/drawing/2010/slicer">
              <sle:slicer xmlns:sle="http://schemas.microsoft.com/office/drawing/2010/slicer" name="student 1"/>
            </a:graphicData>
          </a:graphic>
        </xdr:graphicFrame>
      </mc:Choice>
      <mc:Fallback>
        <xdr:sp macro="" textlink="">
          <xdr:nvSpPr>
            <xdr:cNvPr id="0" name=""/>
            <xdr:cNvSpPr>
              <a:spLocks noTextEdit="1"/>
            </xdr:cNvSpPr>
          </xdr:nvSpPr>
          <xdr:spPr>
            <a:xfrm>
              <a:off x="12925425" y="104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476250</xdr:colOff>
      <xdr:row>9</xdr:row>
      <xdr:rowOff>0</xdr:rowOff>
    </xdr:from>
    <xdr:to>
      <xdr:col>26</xdr:col>
      <xdr:colOff>476250</xdr:colOff>
      <xdr:row>22</xdr:row>
      <xdr:rowOff>47625</xdr:rowOff>
    </xdr:to>
    <mc:AlternateContent xmlns:mc="http://schemas.openxmlformats.org/markup-compatibility/2006">
      <mc:Choice xmlns:sle15="http://schemas.microsoft.com/office/drawing/2012/slicer" Requires="sle15">
        <xdr:graphicFrame macro="">
          <xdr:nvGraphicFramePr>
            <xdr:cNvPr id="9" name="marks 1">
              <a:extLst>
                <a:ext uri="{FF2B5EF4-FFF2-40B4-BE49-F238E27FC236}">
                  <a16:creationId xmlns:a16="http://schemas.microsoft.com/office/drawing/2014/main" id="{3BA7FA6E-AC93-9F4A-F8CD-75336BA5EC12}"/>
                </a:ext>
              </a:extLst>
            </xdr:cNvPr>
            <xdr:cNvGraphicFramePr/>
          </xdr:nvGraphicFramePr>
          <xdr:xfrm>
            <a:off x="0" y="0"/>
            <a:ext cx="0" cy="0"/>
          </xdr:xfrm>
          <a:graphic>
            <a:graphicData uri="http://schemas.microsoft.com/office/drawing/2010/slicer">
              <sle:slicer xmlns:sle="http://schemas.microsoft.com/office/drawing/2010/slicer" name="marks 1"/>
            </a:graphicData>
          </a:graphic>
        </xdr:graphicFrame>
      </mc:Choice>
      <mc:Fallback>
        <xdr:sp macro="" textlink="">
          <xdr:nvSpPr>
            <xdr:cNvPr id="0" name=""/>
            <xdr:cNvSpPr>
              <a:spLocks noTextEdit="1"/>
            </xdr:cNvSpPr>
          </xdr:nvSpPr>
          <xdr:spPr>
            <a:xfrm>
              <a:off x="15506700" y="1714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485775</xdr:colOff>
      <xdr:row>24</xdr:row>
      <xdr:rowOff>57150</xdr:rowOff>
    </xdr:from>
    <xdr:to>
      <xdr:col>24</xdr:col>
      <xdr:colOff>485775</xdr:colOff>
      <xdr:row>37</xdr:row>
      <xdr:rowOff>104775</xdr:rowOff>
    </xdr:to>
    <mc:AlternateContent xmlns:mc="http://schemas.openxmlformats.org/markup-compatibility/2006">
      <mc:Choice xmlns:sle15="http://schemas.microsoft.com/office/drawing/2012/slicer" Requires="sle15">
        <xdr:graphicFrame macro="">
          <xdr:nvGraphicFramePr>
            <xdr:cNvPr id="10" name="study hrs 1">
              <a:extLst>
                <a:ext uri="{FF2B5EF4-FFF2-40B4-BE49-F238E27FC236}">
                  <a16:creationId xmlns:a16="http://schemas.microsoft.com/office/drawing/2014/main" id="{7BF38578-63B8-6CEB-258D-EB2989475C9C}"/>
                </a:ext>
              </a:extLst>
            </xdr:cNvPr>
            <xdr:cNvGraphicFramePr/>
          </xdr:nvGraphicFramePr>
          <xdr:xfrm>
            <a:off x="0" y="0"/>
            <a:ext cx="0" cy="0"/>
          </xdr:xfrm>
          <a:graphic>
            <a:graphicData uri="http://schemas.microsoft.com/office/drawing/2010/slicer">
              <sle:slicer xmlns:sle="http://schemas.microsoft.com/office/drawing/2010/slicer" name="study hrs 1"/>
            </a:graphicData>
          </a:graphic>
        </xdr:graphicFrame>
      </mc:Choice>
      <mc:Fallback>
        <xdr:sp macro="" textlink="">
          <xdr:nvSpPr>
            <xdr:cNvPr id="0" name=""/>
            <xdr:cNvSpPr>
              <a:spLocks noTextEdit="1"/>
            </xdr:cNvSpPr>
          </xdr:nvSpPr>
          <xdr:spPr>
            <a:xfrm>
              <a:off x="14297025" y="4629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68.624351736114" createdVersion="8" refreshedVersion="8" minRefreshableVersion="3" recordCount="19" xr:uid="{B6BCB619-798E-415A-834F-A68F564355B9}">
  <cacheSource type="worksheet">
    <worksheetSource name="Table1"/>
  </cacheSource>
  <cacheFields count="3">
    <cacheField name="student" numFmtId="0">
      <sharedItems count="19">
        <s v="A"/>
        <s v="B"/>
        <s v="D"/>
        <s v="E"/>
        <s v="F"/>
        <s v="G"/>
        <s v="H"/>
        <s v="J"/>
        <s v="K"/>
        <s v="L"/>
        <s v="M"/>
        <s v="N"/>
        <s v="V"/>
        <s v="C"/>
        <s v="X"/>
        <s v="Z"/>
        <s v="Q"/>
        <s v="W"/>
        <s v="Y"/>
      </sharedItems>
    </cacheField>
    <cacheField name="marks" numFmtId="0">
      <sharedItems containsSemiMixedTypes="0" containsString="0" containsNumber="1" containsInteger="1" minValue="45" maxValue="93" count="13">
        <n v="78"/>
        <n v="67"/>
        <n v="91"/>
        <n v="92"/>
        <n v="93"/>
        <n v="84"/>
        <n v="71"/>
        <n v="90"/>
        <n v="62"/>
        <n v="58"/>
        <n v="56"/>
        <n v="45"/>
        <n v="89"/>
      </sharedItems>
    </cacheField>
    <cacheField name="study hrs" numFmtId="0">
      <sharedItems containsSemiMixedTypes="0" containsString="0" containsNumber="1" containsInteger="1" minValue="1" maxValue="6" count="6">
        <n v="2"/>
        <n v="3"/>
        <n v="5"/>
        <n v="4"/>
        <n v="1"/>
        <n v="6"/>
      </sharedItems>
    </cacheField>
  </cacheFields>
  <extLst>
    <ext xmlns:x14="http://schemas.microsoft.com/office/spreadsheetml/2009/9/main" uri="{725AE2AE-9491-48be-B2B4-4EB974FC3084}">
      <x14:pivotCacheDefinition pivotCacheId="900482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x v="0"/>
  </r>
  <r>
    <x v="1"/>
    <x v="1"/>
    <x v="1"/>
  </r>
  <r>
    <x v="2"/>
    <x v="2"/>
    <x v="0"/>
  </r>
  <r>
    <x v="3"/>
    <x v="3"/>
    <x v="2"/>
  </r>
  <r>
    <x v="4"/>
    <x v="4"/>
    <x v="3"/>
  </r>
  <r>
    <x v="5"/>
    <x v="5"/>
    <x v="0"/>
  </r>
  <r>
    <x v="6"/>
    <x v="6"/>
    <x v="3"/>
  </r>
  <r>
    <x v="7"/>
    <x v="7"/>
    <x v="0"/>
  </r>
  <r>
    <x v="8"/>
    <x v="8"/>
    <x v="1"/>
  </r>
  <r>
    <x v="9"/>
    <x v="9"/>
    <x v="3"/>
  </r>
  <r>
    <x v="10"/>
    <x v="10"/>
    <x v="0"/>
  </r>
  <r>
    <x v="11"/>
    <x v="7"/>
    <x v="4"/>
  </r>
  <r>
    <x v="12"/>
    <x v="1"/>
    <x v="0"/>
  </r>
  <r>
    <x v="13"/>
    <x v="0"/>
    <x v="3"/>
  </r>
  <r>
    <x v="14"/>
    <x v="11"/>
    <x v="0"/>
  </r>
  <r>
    <x v="15"/>
    <x v="0"/>
    <x v="1"/>
  </r>
  <r>
    <x v="16"/>
    <x v="12"/>
    <x v="4"/>
  </r>
  <r>
    <x v="17"/>
    <x v="3"/>
    <x v="2"/>
  </r>
  <r>
    <x v="18"/>
    <x v="4"/>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14966B-47FB-4A76-9643-D782D76C0AA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
    <pivotField axis="axisRow" showAll="0">
      <items count="20">
        <item x="0"/>
        <item x="1"/>
        <item x="13"/>
        <item x="2"/>
        <item x="3"/>
        <item x="4"/>
        <item x="5"/>
        <item x="6"/>
        <item x="7"/>
        <item x="8"/>
        <item x="9"/>
        <item x="10"/>
        <item x="11"/>
        <item x="16"/>
        <item x="12"/>
        <item x="17"/>
        <item x="14"/>
        <item x="18"/>
        <item x="15"/>
        <item t="default"/>
      </items>
    </pivotField>
    <pivotField dataField="1" showAll="0">
      <items count="14">
        <item x="11"/>
        <item x="10"/>
        <item x="9"/>
        <item x="8"/>
        <item x="1"/>
        <item x="6"/>
        <item x="0"/>
        <item x="5"/>
        <item x="12"/>
        <item x="7"/>
        <item x="2"/>
        <item x="3"/>
        <item x="4"/>
        <item t="default"/>
      </items>
    </pivotField>
    <pivotField showAll="0">
      <items count="7">
        <item h="1" x="4"/>
        <item h="1" x="0"/>
        <item h="1" x="1"/>
        <item h="1" x="3"/>
        <item x="2"/>
        <item h="1" x="5"/>
        <item t="default"/>
      </items>
    </pivotField>
  </pivotFields>
  <rowFields count="1">
    <field x="0"/>
  </rowFields>
  <rowItems count="3">
    <i>
      <x v="4"/>
    </i>
    <i>
      <x v="15"/>
    </i>
    <i t="grand">
      <x/>
    </i>
  </rowItems>
  <colItems count="1">
    <i/>
  </colItems>
  <dataFields count="1">
    <dataField name="Sum of marks" fld="1" baseField="0" baseItem="0"/>
  </dataField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AA6562-4525-4D8C-8871-04BA7B0CBBA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2:E52" firstHeaderRow="0" firstDataRow="1" firstDataCol="1"/>
  <pivotFields count="3">
    <pivotField axis="axisRow" showAll="0">
      <items count="20">
        <item x="0"/>
        <item x="1"/>
        <item x="13"/>
        <item x="2"/>
        <item x="3"/>
        <item x="4"/>
        <item x="5"/>
        <item x="6"/>
        <item x="7"/>
        <item x="8"/>
        <item x="9"/>
        <item x="10"/>
        <item x="11"/>
        <item x="16"/>
        <item x="12"/>
        <item x="17"/>
        <item x="14"/>
        <item x="18"/>
        <item x="15"/>
        <item t="default"/>
      </items>
    </pivotField>
    <pivotField dataField="1" showAll="0"/>
    <pivotField dataField="1" showAll="0"/>
  </pivotFields>
  <rowFields count="1">
    <field x="0"/>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study hrs" fld="2" baseField="0" baseItem="0"/>
    <dataField name="Sum of mark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 xr10:uid="{EF0141AD-58BD-46A9-8F39-4B4A31ECE3FA}" sourceName="student">
  <pivotTables>
    <pivotTable tabId="2" name="PivotTable1"/>
  </pivotTables>
  <data>
    <tabular pivotCacheId="900482747">
      <items count="19">
        <i x="3" s="1"/>
        <i x="17" s="1"/>
        <i x="0" s="1" nd="1"/>
        <i x="1" s="1" nd="1"/>
        <i x="13" s="1" nd="1"/>
        <i x="2" s="1" nd="1"/>
        <i x="4" s="1" nd="1"/>
        <i x="5" s="1" nd="1"/>
        <i x="6" s="1" nd="1"/>
        <i x="7" s="1" nd="1"/>
        <i x="8" s="1" nd="1"/>
        <i x="9" s="1" nd="1"/>
        <i x="10" s="1" nd="1"/>
        <i x="11" s="1" nd="1"/>
        <i x="16" s="1" nd="1"/>
        <i x="12" s="1" nd="1"/>
        <i x="14" s="1" nd="1"/>
        <i x="18" s="1" nd="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s" xr10:uid="{4D1BAB64-17FA-474F-BE4E-0C986D06FED8}" sourceName="marks">
  <pivotTables>
    <pivotTable tabId="2" name="PivotTable1"/>
  </pivotTables>
  <data>
    <tabular pivotCacheId="900482747">
      <items count="13">
        <i x="3" s="1"/>
        <i x="11" s="1" nd="1"/>
        <i x="10" s="1" nd="1"/>
        <i x="9" s="1" nd="1"/>
        <i x="8" s="1" nd="1"/>
        <i x="1" s="1" nd="1"/>
        <i x="6" s="1" nd="1"/>
        <i x="0" s="1" nd="1"/>
        <i x="5" s="1" nd="1"/>
        <i x="12" s="1" nd="1"/>
        <i x="7" s="1" nd="1"/>
        <i x="2"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hrs" xr10:uid="{F8C1B10D-BA01-4BD4-8741-616EA5D9A7EB}" sourceName="study hrs">
  <pivotTables>
    <pivotTable tabId="2" name="PivotTable1"/>
  </pivotTables>
  <data>
    <tabular pivotCacheId="900482747">
      <items count="6">
        <i x="4"/>
        <i x="0"/>
        <i x="1"/>
        <i x="3"/>
        <i x="2" s="1"/>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1" xr10:uid="{EDD74EC6-3739-412E-8BC5-BC430E280F3B}" sourceName="student">
  <extLst>
    <x:ext xmlns:x15="http://schemas.microsoft.com/office/spreadsheetml/2010/11/main" uri="{2F2917AC-EB37-4324-AD4E-5DD8C200BD13}">
      <x15:tableSlicerCache tableId="1"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s1" xr10:uid="{83F76305-19A1-48A4-BB84-B7756C23D967}" sourceName="marks">
  <extLst>
    <x:ext xmlns:x15="http://schemas.microsoft.com/office/spreadsheetml/2010/11/main" uri="{2F2917AC-EB37-4324-AD4E-5DD8C200BD13}">
      <x15:tableSlicerCache tableId="1"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hrs1" xr10:uid="{C742FD10-C60A-4981-BDEA-BCB2432FE844}" sourceName="study hrs">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xr10:uid="{5724B418-2C2A-472D-A034-C2F42723F96E}" cache="Slicer_student" caption="student" rowHeight="241300"/>
  <slicer name="marks" xr10:uid="{E7E1F05B-DE69-4E66-BA0F-CC1DF730141D}" cache="Slicer_marks" caption="marks" rowHeight="241300"/>
  <slicer name="study hrs" xr10:uid="{1F570645-5263-4EA7-9ACB-812F903DF839}" cache="Slicer_study_hrs" caption="study h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1" xr10:uid="{764EFC66-1102-41DF-AAB6-41597E9EF8FC}" cache="Slicer_student1" caption="student" rowHeight="241300"/>
  <slicer name="marks 1" xr10:uid="{200394A3-C8FF-4DD6-80DB-5DE6C00F8426}" cache="Slicer_marks1" caption="marks" rowHeight="241300"/>
  <slicer name="study hrs 1" xr10:uid="{7FCB2B4E-14D5-4504-AD94-0635731C17DA}" cache="Slicer_study_hrs1" caption="study h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22B4F6-9A1A-4CF6-AA5A-3AE951E07ED9}" name="Table1" displayName="Table1" ref="A1:C20" totalsRowShown="0">
  <autoFilter ref="A1:C20" xr:uid="{F022B4F6-9A1A-4CF6-AA5A-3AE951E07ED9}"/>
  <tableColumns count="3">
    <tableColumn id="1" xr3:uid="{0F8FDAFA-CB75-452B-86D4-DFC64AB6CBB6}" name="student"/>
    <tableColumn id="2" xr3:uid="{C1B72AF8-5BBA-4C33-B292-B02649C3D213}" name="marks"/>
    <tableColumn id="3" xr3:uid="{486C2978-2441-47FC-A134-1A058393D39D}" name="study hr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C57E-F859-43BA-914D-E1916D0019A8}">
  <dimension ref="A3:B6"/>
  <sheetViews>
    <sheetView workbookViewId="0">
      <selection activeCell="D28" sqref="D28"/>
    </sheetView>
  </sheetViews>
  <sheetFormatPr defaultRowHeight="15" x14ac:dyDescent="0.25"/>
  <cols>
    <col min="1" max="1" width="13.140625" bestFit="1" customWidth="1"/>
    <col min="2" max="2" width="12.85546875" bestFit="1" customWidth="1"/>
  </cols>
  <sheetData>
    <row r="3" spans="1:2" x14ac:dyDescent="0.25">
      <c r="A3" s="2" t="s">
        <v>24</v>
      </c>
      <c r="B3" t="s">
        <v>22</v>
      </c>
    </row>
    <row r="4" spans="1:2" x14ac:dyDescent="0.25">
      <c r="A4" s="3" t="s">
        <v>9</v>
      </c>
      <c r="B4" s="1">
        <v>92</v>
      </c>
    </row>
    <row r="5" spans="1:2" x14ac:dyDescent="0.25">
      <c r="A5" s="3" t="s">
        <v>19</v>
      </c>
      <c r="B5" s="1">
        <v>92</v>
      </c>
    </row>
    <row r="6" spans="1:2" x14ac:dyDescent="0.25">
      <c r="A6" s="3" t="s">
        <v>25</v>
      </c>
      <c r="B6" s="1">
        <v>184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5AC6-24C2-48CE-81D9-2CF4F72666BB}">
  <dimension ref="A1:B15"/>
  <sheetViews>
    <sheetView workbookViewId="0"/>
  </sheetViews>
  <sheetFormatPr defaultRowHeight="15" x14ac:dyDescent="0.25"/>
  <cols>
    <col min="1" max="1" width="17.5703125" customWidth="1"/>
  </cols>
  <sheetData>
    <row r="1" spans="1:2" x14ac:dyDescent="0.25">
      <c r="A1" s="7">
        <v>78</v>
      </c>
      <c r="B1" s="7"/>
    </row>
    <row r="2" spans="1:2" x14ac:dyDescent="0.25">
      <c r="A2" s="4"/>
      <c r="B2" s="4"/>
    </row>
    <row r="3" spans="1:2" x14ac:dyDescent="0.25">
      <c r="A3" s="4" t="s">
        <v>26</v>
      </c>
      <c r="B3" s="4">
        <v>77.555555555555557</v>
      </c>
    </row>
    <row r="4" spans="1:2" x14ac:dyDescent="0.25">
      <c r="A4" s="4" t="s">
        <v>27</v>
      </c>
      <c r="B4" s="4">
        <v>3.6030326933970098</v>
      </c>
    </row>
    <row r="5" spans="1:2" x14ac:dyDescent="0.25">
      <c r="A5" s="4" t="s">
        <v>28</v>
      </c>
      <c r="B5" s="4">
        <v>81</v>
      </c>
    </row>
    <row r="6" spans="1:2" x14ac:dyDescent="0.25">
      <c r="A6" s="4" t="s">
        <v>29</v>
      </c>
      <c r="B6" s="4">
        <v>67</v>
      </c>
    </row>
    <row r="7" spans="1:2" x14ac:dyDescent="0.25">
      <c r="A7" s="4" t="s">
        <v>30</v>
      </c>
      <c r="B7" s="4">
        <v>15.286373102027136</v>
      </c>
    </row>
    <row r="8" spans="1:2" x14ac:dyDescent="0.25">
      <c r="A8" s="4" t="s">
        <v>31</v>
      </c>
      <c r="B8" s="4">
        <v>233.67320261437871</v>
      </c>
    </row>
    <row r="9" spans="1:2" x14ac:dyDescent="0.25">
      <c r="A9" s="4" t="s">
        <v>32</v>
      </c>
      <c r="B9" s="4">
        <v>-0.74017444803617316</v>
      </c>
    </row>
    <row r="10" spans="1:2" x14ac:dyDescent="0.25">
      <c r="A10" s="4" t="s">
        <v>33</v>
      </c>
      <c r="B10" s="4">
        <v>-0.68454601413537419</v>
      </c>
    </row>
    <row r="11" spans="1:2" x14ac:dyDescent="0.25">
      <c r="A11" s="4" t="s">
        <v>34</v>
      </c>
      <c r="B11" s="4">
        <v>48</v>
      </c>
    </row>
    <row r="12" spans="1:2" x14ac:dyDescent="0.25">
      <c r="A12" s="4" t="s">
        <v>35</v>
      </c>
      <c r="B12" s="4">
        <v>45</v>
      </c>
    </row>
    <row r="13" spans="1:2" x14ac:dyDescent="0.25">
      <c r="A13" s="4" t="s">
        <v>36</v>
      </c>
      <c r="B13" s="4">
        <v>93</v>
      </c>
    </row>
    <row r="14" spans="1:2" x14ac:dyDescent="0.25">
      <c r="A14" s="4" t="s">
        <v>37</v>
      </c>
      <c r="B14" s="4">
        <v>1396</v>
      </c>
    </row>
    <row r="15" spans="1:2" ht="15.75" thickBot="1" x14ac:dyDescent="0.3">
      <c r="A15" s="5" t="s">
        <v>38</v>
      </c>
      <c r="B15" s="5">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6C56-8D0F-4037-AE10-C715F6C4995C}">
  <dimension ref="A1:I18"/>
  <sheetViews>
    <sheetView workbookViewId="0">
      <selection activeCell="F6" sqref="F6"/>
    </sheetView>
  </sheetViews>
  <sheetFormatPr defaultRowHeight="15" x14ac:dyDescent="0.25"/>
  <sheetData>
    <row r="1" spans="1:9" x14ac:dyDescent="0.25">
      <c r="A1" t="s">
        <v>39</v>
      </c>
    </row>
    <row r="2" spans="1:9" ht="15.75" thickBot="1" x14ac:dyDescent="0.3"/>
    <row r="3" spans="1:9" x14ac:dyDescent="0.25">
      <c r="A3" s="7" t="s">
        <v>40</v>
      </c>
      <c r="B3" s="7"/>
    </row>
    <row r="4" spans="1:9" x14ac:dyDescent="0.25">
      <c r="A4" s="4" t="s">
        <v>41</v>
      </c>
      <c r="B4" s="4">
        <v>0.20625486777830709</v>
      </c>
    </row>
    <row r="5" spans="1:9" x14ac:dyDescent="0.25">
      <c r="A5" s="4" t="s">
        <v>42</v>
      </c>
      <c r="B5" s="4">
        <v>4.2541070482246944E-2</v>
      </c>
    </row>
    <row r="6" spans="1:9" x14ac:dyDescent="0.25">
      <c r="A6" s="4" t="s">
        <v>43</v>
      </c>
      <c r="B6" s="4">
        <v>-1.3780043018797357E-2</v>
      </c>
    </row>
    <row r="7" spans="1:9" x14ac:dyDescent="0.25">
      <c r="A7" s="4" t="s">
        <v>27</v>
      </c>
      <c r="B7" s="4">
        <v>1.4239241854949984</v>
      </c>
    </row>
    <row r="8" spans="1:9" ht="15.75" thickBot="1" x14ac:dyDescent="0.3">
      <c r="A8" s="5" t="s">
        <v>44</v>
      </c>
      <c r="B8" s="5">
        <v>19</v>
      </c>
    </row>
    <row r="10" spans="1:9" ht="15.75" thickBot="1" x14ac:dyDescent="0.3">
      <c r="A10" t="s">
        <v>45</v>
      </c>
    </row>
    <row r="11" spans="1:9" x14ac:dyDescent="0.25">
      <c r="A11" s="6"/>
      <c r="B11" s="6" t="s">
        <v>50</v>
      </c>
      <c r="C11" s="6" t="s">
        <v>51</v>
      </c>
      <c r="D11" s="6" t="s">
        <v>52</v>
      </c>
      <c r="E11" s="6" t="s">
        <v>5</v>
      </c>
      <c r="F11" s="6" t="s">
        <v>53</v>
      </c>
    </row>
    <row r="12" spans="1:9" x14ac:dyDescent="0.25">
      <c r="A12" s="4" t="s">
        <v>46</v>
      </c>
      <c r="B12" s="4">
        <v>1</v>
      </c>
      <c r="C12" s="4">
        <v>1.5314785373608899</v>
      </c>
      <c r="D12" s="4">
        <v>1.5314785373608899</v>
      </c>
      <c r="E12" s="4">
        <v>0.7553307780652837</v>
      </c>
      <c r="F12" s="4">
        <v>0.39689849079206863</v>
      </c>
    </row>
    <row r="13" spans="1:9" x14ac:dyDescent="0.25">
      <c r="A13" s="4" t="s">
        <v>47</v>
      </c>
      <c r="B13" s="4">
        <v>17</v>
      </c>
      <c r="C13" s="4">
        <v>34.46852146263911</v>
      </c>
      <c r="D13" s="4">
        <v>2.0275600860375946</v>
      </c>
      <c r="E13" s="4"/>
      <c r="F13" s="4"/>
    </row>
    <row r="14" spans="1:9" ht="15.75" thickBot="1" x14ac:dyDescent="0.3">
      <c r="A14" s="5" t="s">
        <v>48</v>
      </c>
      <c r="B14" s="5">
        <v>18</v>
      </c>
      <c r="C14" s="5">
        <v>36</v>
      </c>
      <c r="D14" s="5"/>
      <c r="E14" s="5"/>
      <c r="F14" s="5"/>
    </row>
    <row r="15" spans="1:9" ht="15.75" thickBot="1" x14ac:dyDescent="0.3"/>
    <row r="16" spans="1:9" x14ac:dyDescent="0.25">
      <c r="A16" s="6"/>
      <c r="B16" s="6" t="s">
        <v>54</v>
      </c>
      <c r="C16" s="6" t="s">
        <v>27</v>
      </c>
      <c r="D16" s="6" t="s">
        <v>55</v>
      </c>
      <c r="E16" s="6" t="s">
        <v>56</v>
      </c>
      <c r="F16" s="6" t="s">
        <v>57</v>
      </c>
      <c r="G16" s="6" t="s">
        <v>58</v>
      </c>
      <c r="H16" s="6" t="s">
        <v>59</v>
      </c>
      <c r="I16" s="6" t="s">
        <v>60</v>
      </c>
    </row>
    <row r="17" spans="1:9" x14ac:dyDescent="0.25">
      <c r="A17" s="4" t="s">
        <v>49</v>
      </c>
      <c r="B17" s="4">
        <v>1.4767885532591416</v>
      </c>
      <c r="C17" s="4">
        <v>1.7828193629844342</v>
      </c>
      <c r="D17" s="4">
        <v>0.82834446602991907</v>
      </c>
      <c r="E17" s="4">
        <v>0.41895352874249625</v>
      </c>
      <c r="F17" s="4">
        <v>-2.2846315112282887</v>
      </c>
      <c r="G17" s="4">
        <v>5.2382086177465723</v>
      </c>
      <c r="H17" s="4">
        <v>-2.2846315112282887</v>
      </c>
      <c r="I17" s="4">
        <v>5.2382086177465723</v>
      </c>
    </row>
    <row r="18" spans="1:9" ht="15.75" thickBot="1" x14ac:dyDescent="0.3">
      <c r="A18" s="5" t="s">
        <v>61</v>
      </c>
      <c r="B18" s="5">
        <v>1.9634340222575514E-2</v>
      </c>
      <c r="C18" s="5">
        <v>2.2591638046584962E-2</v>
      </c>
      <c r="D18" s="5">
        <v>0.86909768039345492</v>
      </c>
      <c r="E18" s="5">
        <v>0.39689849079206863</v>
      </c>
      <c r="F18" s="5">
        <v>-2.8029849656881288E-2</v>
      </c>
      <c r="G18" s="5">
        <v>6.7298530102032322E-2</v>
      </c>
      <c r="H18" s="5">
        <v>-2.8029849656881288E-2</v>
      </c>
      <c r="I18" s="5">
        <v>6.7298530102032322E-2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DA856-9E89-4644-B86A-F0AA1A4E5BEA}">
  <dimension ref="A1:H52"/>
  <sheetViews>
    <sheetView tabSelected="1" workbookViewId="0">
      <selection activeCell="D7" sqref="D7"/>
    </sheetView>
  </sheetViews>
  <sheetFormatPr defaultRowHeight="15" x14ac:dyDescent="0.25"/>
  <cols>
    <col min="1" max="1" width="10" customWidth="1"/>
    <col min="3" max="3" width="13.140625" bestFit="1" customWidth="1"/>
    <col min="4" max="4" width="15.7109375" bestFit="1" customWidth="1"/>
    <col min="5" max="5" width="12.85546875" bestFit="1" customWidth="1"/>
  </cols>
  <sheetData>
    <row r="1" spans="1:6" x14ac:dyDescent="0.25">
      <c r="A1" t="s">
        <v>0</v>
      </c>
      <c r="B1" t="s">
        <v>1</v>
      </c>
      <c r="C1" t="s">
        <v>2</v>
      </c>
    </row>
    <row r="2" spans="1:6" x14ac:dyDescent="0.25">
      <c r="A2" t="s">
        <v>3</v>
      </c>
      <c r="B2">
        <v>78</v>
      </c>
      <c r="C2">
        <v>2</v>
      </c>
    </row>
    <row r="3" spans="1:6" x14ac:dyDescent="0.25">
      <c r="A3" t="s">
        <v>20</v>
      </c>
      <c r="B3">
        <v>67</v>
      </c>
      <c r="C3">
        <v>4</v>
      </c>
    </row>
    <row r="4" spans="1:6" x14ac:dyDescent="0.25">
      <c r="A4" t="s">
        <v>4</v>
      </c>
      <c r="B4">
        <v>91</v>
      </c>
      <c r="C4">
        <v>5</v>
      </c>
    </row>
    <row r="5" spans="1:6" x14ac:dyDescent="0.25">
      <c r="A5" t="s">
        <v>9</v>
      </c>
      <c r="B5">
        <v>92</v>
      </c>
      <c r="C5">
        <v>6</v>
      </c>
    </row>
    <row r="6" spans="1:6" x14ac:dyDescent="0.25">
      <c r="A6" t="s">
        <v>5</v>
      </c>
      <c r="B6">
        <v>93</v>
      </c>
      <c r="C6">
        <v>3</v>
      </c>
      <c r="F6">
        <f>MEDIAN(B2:B20)</f>
        <v>78</v>
      </c>
    </row>
    <row r="7" spans="1:6" x14ac:dyDescent="0.25">
      <c r="A7" t="s">
        <v>6</v>
      </c>
      <c r="B7">
        <v>84</v>
      </c>
      <c r="C7">
        <v>2</v>
      </c>
    </row>
    <row r="8" spans="1:6" x14ac:dyDescent="0.25">
      <c r="A8" t="s">
        <v>7</v>
      </c>
      <c r="B8">
        <v>71</v>
      </c>
      <c r="C8">
        <v>1</v>
      </c>
    </row>
    <row r="9" spans="1:6" x14ac:dyDescent="0.25">
      <c r="A9" t="s">
        <v>8</v>
      </c>
      <c r="B9">
        <v>90</v>
      </c>
      <c r="C9">
        <v>5</v>
      </c>
      <c r="F9" cm="1">
        <f t="array" ref="F9">_xlfn.MODE.MULT(B2:B20)</f>
        <v>78</v>
      </c>
    </row>
    <row r="10" spans="1:6" x14ac:dyDescent="0.25">
      <c r="A10" t="s">
        <v>10</v>
      </c>
      <c r="B10">
        <v>62</v>
      </c>
      <c r="C10">
        <v>2</v>
      </c>
    </row>
    <row r="11" spans="1:6" x14ac:dyDescent="0.25">
      <c r="A11" t="s">
        <v>11</v>
      </c>
      <c r="B11">
        <v>58</v>
      </c>
      <c r="C11">
        <v>3</v>
      </c>
    </row>
    <row r="12" spans="1:6" x14ac:dyDescent="0.25">
      <c r="A12" t="s">
        <v>12</v>
      </c>
      <c r="B12">
        <v>56</v>
      </c>
      <c r="C12">
        <v>3</v>
      </c>
    </row>
    <row r="13" spans="1:6" x14ac:dyDescent="0.25">
      <c r="A13" t="s">
        <v>13</v>
      </c>
      <c r="B13">
        <v>90</v>
      </c>
      <c r="C13">
        <v>5</v>
      </c>
      <c r="F13">
        <f>AVERAGE(B2:B20)</f>
        <v>77.578947368421055</v>
      </c>
    </row>
    <row r="14" spans="1:6" x14ac:dyDescent="0.25">
      <c r="A14" t="s">
        <v>14</v>
      </c>
      <c r="B14">
        <v>67</v>
      </c>
      <c r="C14">
        <v>2</v>
      </c>
    </row>
    <row r="15" spans="1:6" x14ac:dyDescent="0.25">
      <c r="A15" t="s">
        <v>15</v>
      </c>
      <c r="B15">
        <v>78</v>
      </c>
      <c r="C15">
        <v>1</v>
      </c>
    </row>
    <row r="16" spans="1:6" x14ac:dyDescent="0.25">
      <c r="A16" t="s">
        <v>16</v>
      </c>
      <c r="B16">
        <v>45</v>
      </c>
      <c r="C16">
        <v>4</v>
      </c>
    </row>
    <row r="17" spans="1:8" x14ac:dyDescent="0.25">
      <c r="A17" t="s">
        <v>17</v>
      </c>
      <c r="B17">
        <v>78</v>
      </c>
      <c r="C17">
        <v>3</v>
      </c>
      <c r="F17">
        <f>MAX(B2:B20)-MIN(C2:C20)</f>
        <v>92</v>
      </c>
    </row>
    <row r="18" spans="1:8" x14ac:dyDescent="0.25">
      <c r="A18" t="s">
        <v>18</v>
      </c>
      <c r="B18">
        <v>89</v>
      </c>
      <c r="C18">
        <v>1</v>
      </c>
      <c r="H18">
        <f>CORREL(B2:B20,C2:C20)</f>
        <v>0.35980352963021145</v>
      </c>
    </row>
    <row r="19" spans="1:8" x14ac:dyDescent="0.25">
      <c r="A19" t="s">
        <v>19</v>
      </c>
      <c r="B19">
        <v>92</v>
      </c>
      <c r="C19">
        <v>5</v>
      </c>
    </row>
    <row r="20" spans="1:8" x14ac:dyDescent="0.25">
      <c r="A20" t="s">
        <v>21</v>
      </c>
      <c r="B20">
        <v>93</v>
      </c>
      <c r="C20">
        <v>6</v>
      </c>
      <c r="F20">
        <f>_xlfn.VAR.P(B2:B20)</f>
        <v>209.08587257617728</v>
      </c>
    </row>
    <row r="22" spans="1:8" x14ac:dyDescent="0.25">
      <c r="F22">
        <f>_xlfn.STDEV.P(B2:B20)</f>
        <v>14.459801954943133</v>
      </c>
    </row>
    <row r="32" spans="1:8" x14ac:dyDescent="0.25">
      <c r="C32" s="2" t="s">
        <v>24</v>
      </c>
      <c r="D32" t="s">
        <v>23</v>
      </c>
      <c r="E32" t="s">
        <v>22</v>
      </c>
    </row>
    <row r="33" spans="3:5" x14ac:dyDescent="0.25">
      <c r="C33" s="3" t="s">
        <v>3</v>
      </c>
      <c r="D33" s="1">
        <v>2</v>
      </c>
      <c r="E33" s="1">
        <v>78</v>
      </c>
    </row>
    <row r="34" spans="3:5" x14ac:dyDescent="0.25">
      <c r="C34" s="3" t="s">
        <v>20</v>
      </c>
      <c r="D34" s="1">
        <v>3</v>
      </c>
      <c r="E34" s="1">
        <v>67</v>
      </c>
    </row>
    <row r="35" spans="3:5" x14ac:dyDescent="0.25">
      <c r="C35" s="3" t="s">
        <v>15</v>
      </c>
      <c r="D35" s="1">
        <v>4</v>
      </c>
      <c r="E35" s="1">
        <v>78</v>
      </c>
    </row>
    <row r="36" spans="3:5" x14ac:dyDescent="0.25">
      <c r="C36" s="3" t="s">
        <v>4</v>
      </c>
      <c r="D36" s="1">
        <v>2</v>
      </c>
      <c r="E36" s="1">
        <v>91</v>
      </c>
    </row>
    <row r="37" spans="3:5" x14ac:dyDescent="0.25">
      <c r="C37" s="3" t="s">
        <v>9</v>
      </c>
      <c r="D37" s="1">
        <v>5</v>
      </c>
      <c r="E37" s="1">
        <v>92</v>
      </c>
    </row>
    <row r="38" spans="3:5" x14ac:dyDescent="0.25">
      <c r="C38" s="3" t="s">
        <v>5</v>
      </c>
      <c r="D38" s="1">
        <v>4</v>
      </c>
      <c r="E38" s="1">
        <v>93</v>
      </c>
    </row>
    <row r="39" spans="3:5" x14ac:dyDescent="0.25">
      <c r="C39" s="3" t="s">
        <v>6</v>
      </c>
      <c r="D39" s="1">
        <v>2</v>
      </c>
      <c r="E39" s="1">
        <v>84</v>
      </c>
    </row>
    <row r="40" spans="3:5" x14ac:dyDescent="0.25">
      <c r="C40" s="3" t="s">
        <v>7</v>
      </c>
      <c r="D40" s="1">
        <v>4</v>
      </c>
      <c r="E40" s="1">
        <v>71</v>
      </c>
    </row>
    <row r="41" spans="3:5" x14ac:dyDescent="0.25">
      <c r="C41" s="3" t="s">
        <v>8</v>
      </c>
      <c r="D41" s="1">
        <v>2</v>
      </c>
      <c r="E41" s="1">
        <v>90</v>
      </c>
    </row>
    <row r="42" spans="3:5" x14ac:dyDescent="0.25">
      <c r="C42" s="3" t="s">
        <v>10</v>
      </c>
      <c r="D42" s="1">
        <v>3</v>
      </c>
      <c r="E42" s="1">
        <v>62</v>
      </c>
    </row>
    <row r="43" spans="3:5" x14ac:dyDescent="0.25">
      <c r="C43" s="3" t="s">
        <v>11</v>
      </c>
      <c r="D43" s="1">
        <v>4</v>
      </c>
      <c r="E43" s="1">
        <v>58</v>
      </c>
    </row>
    <row r="44" spans="3:5" x14ac:dyDescent="0.25">
      <c r="C44" s="3" t="s">
        <v>12</v>
      </c>
      <c r="D44" s="1">
        <v>2</v>
      </c>
      <c r="E44" s="1">
        <v>56</v>
      </c>
    </row>
    <row r="45" spans="3:5" x14ac:dyDescent="0.25">
      <c r="C45" s="3" t="s">
        <v>13</v>
      </c>
      <c r="D45" s="1">
        <v>1</v>
      </c>
      <c r="E45" s="1">
        <v>90</v>
      </c>
    </row>
    <row r="46" spans="3:5" x14ac:dyDescent="0.25">
      <c r="C46" s="3" t="s">
        <v>18</v>
      </c>
      <c r="D46" s="1">
        <v>1</v>
      </c>
      <c r="E46" s="1">
        <v>89</v>
      </c>
    </row>
    <row r="47" spans="3:5" x14ac:dyDescent="0.25">
      <c r="C47" s="3" t="s">
        <v>14</v>
      </c>
      <c r="D47" s="1">
        <v>2</v>
      </c>
      <c r="E47" s="1">
        <v>67</v>
      </c>
    </row>
    <row r="48" spans="3:5" x14ac:dyDescent="0.25">
      <c r="C48" s="3" t="s">
        <v>19</v>
      </c>
      <c r="D48" s="1">
        <v>5</v>
      </c>
      <c r="E48" s="1">
        <v>92</v>
      </c>
    </row>
    <row r="49" spans="3:5" x14ac:dyDescent="0.25">
      <c r="C49" s="3" t="s">
        <v>16</v>
      </c>
      <c r="D49" s="1">
        <v>2</v>
      </c>
      <c r="E49" s="1">
        <v>45</v>
      </c>
    </row>
    <row r="50" spans="3:5" x14ac:dyDescent="0.25">
      <c r="C50" s="3" t="s">
        <v>21</v>
      </c>
      <c r="D50" s="1">
        <v>6</v>
      </c>
      <c r="E50" s="1">
        <v>93</v>
      </c>
    </row>
    <row r="51" spans="3:5" x14ac:dyDescent="0.25">
      <c r="C51" s="3" t="s">
        <v>17</v>
      </c>
      <c r="D51" s="1">
        <v>3</v>
      </c>
      <c r="E51" s="1">
        <v>78</v>
      </c>
    </row>
    <row r="52" spans="3:5" x14ac:dyDescent="0.25">
      <c r="C52" s="3" t="s">
        <v>25</v>
      </c>
      <c r="D52" s="1">
        <v>57</v>
      </c>
      <c r="E52" s="1">
        <v>1474</v>
      </c>
    </row>
  </sheetData>
  <pageMargins left="0.7" right="0.7" top="0.75" bottom="0.75" header="0.3" footer="0.3"/>
  <pageSetup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2026-05-26T08:31:11Z</dcterms:created>
  <dcterms:modified xsi:type="dcterms:W3CDTF">2026-05-26T10:18:34Z</dcterms:modified>
</cp:coreProperties>
</file>